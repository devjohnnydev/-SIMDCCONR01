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2E6947BB-A706-504E-29CB-9DD9B7763434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indows 10\Desktop\Curso PGR\"/>
    </mc:Choice>
  </mc:AlternateContent>
  <xr:revisionPtr revIDLastSave="0" documentId="8_{0BF8895B-7676-4F80-A2D2-BE74ED57A8E1}" xr6:coauthVersionLast="47" xr6:coauthVersionMax="47" xr10:uidLastSave="{00000000-0000-0000-0000-000000000000}"/>
  <bookViews>
    <workbookView xWindow="-120" yWindow="-120" windowWidth="20730" windowHeight="11160" tabRatio="890" xr2:uid="{00000000-000D-0000-FFFF-FFFF00000000}"/>
  </bookViews>
  <sheets>
    <sheet name="MATRIZ DE RISCO" sheetId="20" r:id="rId1"/>
    <sheet name="PLANO DE AÇÃO" sheetId="24" r:id="rId2"/>
    <sheet name="MATRIZ" sheetId="21" r:id="rId3"/>
    <sheet name="LEGENDAS" sheetId="22" r:id="rId4"/>
  </sheets>
  <definedNames>
    <definedName name="_xlnm._FilterDatabase" localSheetId="0" hidden="1">'MATRIZ DE RISCO'!$A$9:$S$9</definedName>
    <definedName name="_xlnm.Print_Area" localSheetId="0">'MATRIZ DE RISCO'!$A$1:$S$105</definedName>
    <definedName name="_xlnm.Print_Titles" localSheetId="0">'MATRIZ DE RISCO'!$1:$1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" i="20" l="1"/>
  <c r="H2" i="21" l="1"/>
  <c r="K2" i="21"/>
  <c r="H3" i="21"/>
  <c r="K3" i="21"/>
  <c r="H4" i="21"/>
  <c r="K4" i="21"/>
  <c r="H5" i="21"/>
  <c r="K5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A11" i="20"/>
  <c r="AB11" i="20"/>
  <c r="AA24" i="20"/>
  <c r="AB24" i="20"/>
  <c r="AA34" i="20"/>
  <c r="AB34" i="20"/>
  <c r="AA38" i="20"/>
  <c r="AB38" i="20"/>
  <c r="AA39" i="20"/>
  <c r="AB39" i="20"/>
  <c r="AA40" i="20"/>
  <c r="AB40" i="20"/>
  <c r="AA49" i="20"/>
  <c r="AB49" i="20"/>
  <c r="AA53" i="20"/>
  <c r="AB53" i="20"/>
  <c r="AA54" i="20"/>
  <c r="AB54" i="20"/>
  <c r="AA55" i="20"/>
  <c r="AB55" i="20"/>
  <c r="AA56" i="20"/>
  <c r="AB56" i="20"/>
  <c r="AA65" i="20"/>
  <c r="AB65" i="20"/>
  <c r="AA68" i="20"/>
  <c r="AB68" i="20"/>
  <c r="AA69" i="20"/>
  <c r="AB69" i="20"/>
  <c r="AA78" i="20"/>
  <c r="AB78" i="20"/>
  <c r="AA81" i="20"/>
  <c r="AB81" i="20"/>
  <c r="AA90" i="20"/>
  <c r="AB90" i="20"/>
  <c r="AA93" i="20"/>
  <c r="AB93" i="20"/>
  <c r="AA94" i="20"/>
  <c r="AB94" i="20"/>
  <c r="AA103" i="20"/>
  <c r="AB103" i="20"/>
  <c r="AB36" i="20" l="1"/>
  <c r="AB104" i="20"/>
  <c r="AB80" i="20"/>
  <c r="AB51" i="20"/>
  <c r="AB67" i="20"/>
  <c r="AB66" i="20"/>
  <c r="AB52" i="20"/>
  <c r="AB50" i="20"/>
  <c r="AB79" i="20"/>
  <c r="AB22" i="20"/>
  <c r="AB37" i="20"/>
  <c r="AB91" i="20"/>
  <c r="AB35" i="20"/>
  <c r="AB23" i="20"/>
  <c r="AB92" i="20"/>
  <c r="AB10" i="20"/>
  <c r="AB105" i="20"/>
  <c r="AB21" i="20"/>
  <c r="AA36" i="20"/>
  <c r="AA104" i="20"/>
  <c r="AA80" i="20"/>
  <c r="AA52" i="20"/>
  <c r="AA23" i="20"/>
  <c r="AA79" i="20"/>
  <c r="AA22" i="20"/>
  <c r="AA67" i="20"/>
  <c r="AA37" i="20"/>
  <c r="AA66" i="20"/>
  <c r="AA51" i="20"/>
  <c r="AA35" i="20"/>
  <c r="AA50" i="20"/>
  <c r="AA91" i="20"/>
  <c r="AA92" i="20"/>
  <c r="AA10" i="20"/>
  <c r="AA105" i="20"/>
  <c r="AA21" i="20"/>
  <c r="AD38" i="20"/>
  <c r="S38" i="20" s="1"/>
  <c r="AD78" i="20"/>
  <c r="S78" i="20" s="1"/>
  <c r="AD55" i="20"/>
  <c r="S55" i="20" s="1"/>
  <c r="AD40" i="20"/>
  <c r="S40" i="20" s="1"/>
  <c r="AD90" i="20"/>
  <c r="S90" i="20" s="1"/>
  <c r="AD94" i="20"/>
  <c r="S94" i="20" s="1"/>
  <c r="AD34" i="20"/>
  <c r="S34" i="20" s="1"/>
  <c r="AD81" i="20"/>
  <c r="S81" i="20" s="1"/>
  <c r="AD69" i="20"/>
  <c r="S69" i="20" s="1"/>
  <c r="AD65" i="20"/>
  <c r="S65" i="20" s="1"/>
  <c r="AD56" i="20"/>
  <c r="S56" i="20" s="1"/>
  <c r="P54" i="20"/>
  <c r="R54" i="20" s="1"/>
  <c r="AD103" i="20"/>
  <c r="S103" i="20" s="1"/>
  <c r="P93" i="20"/>
  <c r="R93" i="20" s="1"/>
  <c r="P68" i="20"/>
  <c r="R68" i="20" s="1"/>
  <c r="AD53" i="20"/>
  <c r="S53" i="20" s="1"/>
  <c r="AD49" i="20"/>
  <c r="S49" i="20" s="1"/>
  <c r="P39" i="20"/>
  <c r="R39" i="20" s="1"/>
  <c r="P24" i="20"/>
  <c r="R24" i="20" s="1"/>
  <c r="AD24" i="20"/>
  <c r="S24" i="20" s="1"/>
  <c r="AD11" i="20"/>
  <c r="S11" i="20" s="1"/>
  <c r="P103" i="20"/>
  <c r="R103" i="20" s="1"/>
  <c r="AD93" i="20"/>
  <c r="S93" i="20" s="1"/>
  <c r="P90" i="20"/>
  <c r="R90" i="20" s="1"/>
  <c r="P81" i="20"/>
  <c r="R81" i="20" s="1"/>
  <c r="AD68" i="20"/>
  <c r="S68" i="20" s="1"/>
  <c r="P65" i="20"/>
  <c r="R65" i="20" s="1"/>
  <c r="P56" i="20"/>
  <c r="R56" i="20" s="1"/>
  <c r="AD54" i="20"/>
  <c r="S54" i="20" s="1"/>
  <c r="P53" i="20"/>
  <c r="R53" i="20" s="1"/>
  <c r="P49" i="20"/>
  <c r="R49" i="20" s="1"/>
  <c r="AD39" i="20"/>
  <c r="S39" i="20" s="1"/>
  <c r="P38" i="20"/>
  <c r="R38" i="20" s="1"/>
  <c r="P34" i="20"/>
  <c r="R34" i="20" s="1"/>
  <c r="P94" i="20"/>
  <c r="R94" i="20" s="1"/>
  <c r="P78" i="20"/>
  <c r="R78" i="20" s="1"/>
  <c r="P69" i="20"/>
  <c r="R69" i="20" s="1"/>
  <c r="P55" i="20"/>
  <c r="R55" i="20" s="1"/>
  <c r="P40" i="20"/>
  <c r="R40" i="20" s="1"/>
  <c r="P11" i="20"/>
  <c r="R11" i="20" s="1"/>
  <c r="AD50" i="20" l="1"/>
  <c r="S50" i="20" s="1"/>
  <c r="P50" i="20"/>
  <c r="R50" i="20" s="1"/>
  <c r="AD23" i="20"/>
  <c r="S23" i="20" s="1"/>
  <c r="P23" i="20"/>
  <c r="R23" i="20" s="1"/>
  <c r="AD79" i="20"/>
  <c r="S79" i="20" s="1"/>
  <c r="P79" i="20"/>
  <c r="R79" i="20" s="1"/>
  <c r="AD35" i="20"/>
  <c r="S35" i="20" s="1"/>
  <c r="P35" i="20"/>
  <c r="R35" i="20" s="1"/>
  <c r="AD52" i="20"/>
  <c r="S52" i="20" s="1"/>
  <c r="P52" i="20"/>
  <c r="R52" i="20" s="1"/>
  <c r="AD91" i="20"/>
  <c r="S91" i="20" s="1"/>
  <c r="P91" i="20"/>
  <c r="R91" i="20" s="1"/>
  <c r="AD51" i="20"/>
  <c r="S51" i="20" s="1"/>
  <c r="P51" i="20"/>
  <c r="R51" i="20" s="1"/>
  <c r="AD80" i="20"/>
  <c r="S80" i="20" s="1"/>
  <c r="P80" i="20"/>
  <c r="R80" i="20" s="1"/>
  <c r="AD21" i="20"/>
  <c r="S21" i="20" s="1"/>
  <c r="P21" i="20"/>
  <c r="R21" i="20" s="1"/>
  <c r="AD66" i="20"/>
  <c r="S66" i="20" s="1"/>
  <c r="P66" i="20"/>
  <c r="R66" i="20" s="1"/>
  <c r="AD104" i="20"/>
  <c r="S104" i="20" s="1"/>
  <c r="P104" i="20"/>
  <c r="R104" i="20" s="1"/>
  <c r="AD105" i="20"/>
  <c r="S105" i="20" s="1"/>
  <c r="P105" i="20"/>
  <c r="R105" i="20" s="1"/>
  <c r="AD37" i="20"/>
  <c r="S37" i="20" s="1"/>
  <c r="P37" i="20"/>
  <c r="R37" i="20" s="1"/>
  <c r="AD36" i="20"/>
  <c r="S36" i="20" s="1"/>
  <c r="P36" i="20"/>
  <c r="R36" i="20" s="1"/>
  <c r="AD10" i="20"/>
  <c r="S10" i="20" s="1"/>
  <c r="P10" i="20"/>
  <c r="R10" i="20" s="1"/>
  <c r="AD67" i="20"/>
  <c r="S67" i="20" s="1"/>
  <c r="P67" i="20"/>
  <c r="R67" i="20" s="1"/>
  <c r="P92" i="20"/>
  <c r="R92" i="20" s="1"/>
  <c r="AD92" i="20"/>
  <c r="S92" i="20" s="1"/>
  <c r="AD22" i="20"/>
  <c r="S22" i="20" s="1"/>
  <c r="P22" i="20"/>
  <c r="R2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</authors>
  <commentList>
    <comment ref="A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*****               ATENÇÃO                          *****
NÃO MEXER OU ALTERAR OS DADOS DESTA ABA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<sst xmlns="http://schemas.openxmlformats.org/spreadsheetml/2006/main" count="933" uniqueCount="258">
  <si>
    <t>2 - improvável</t>
  </si>
  <si>
    <t>S</t>
  </si>
  <si>
    <t>Sistema de Exaustão</t>
  </si>
  <si>
    <t>(S/N)</t>
  </si>
  <si>
    <t>IN</t>
  </si>
  <si>
    <t>RISCO</t>
  </si>
  <si>
    <t>G</t>
  </si>
  <si>
    <t>P</t>
  </si>
  <si>
    <t>Técnica Utilizada</t>
  </si>
  <si>
    <t>Intens. / Conc.</t>
  </si>
  <si>
    <t>Eficaz</t>
  </si>
  <si>
    <t>CA</t>
  </si>
  <si>
    <t>EPI</t>
  </si>
  <si>
    <t>POAD/EPC</t>
  </si>
  <si>
    <t>Critério para monitoração da exposição</t>
  </si>
  <si>
    <t>Definições de ações necessárias e prioridades</t>
  </si>
  <si>
    <t>Avaliação do Risco</t>
  </si>
  <si>
    <t>Perfil de exposição existente</t>
  </si>
  <si>
    <t>Controle Existente e sua Eficácia</t>
  </si>
  <si>
    <t>Fonte Geradora</t>
  </si>
  <si>
    <t>Padrões Legais / Limite de Exposição</t>
  </si>
  <si>
    <t>Dano</t>
  </si>
  <si>
    <t>Perigo / Fonte de Riscos</t>
  </si>
  <si>
    <t>Agente / Tipo</t>
  </si>
  <si>
    <t>Processo:</t>
  </si>
  <si>
    <t>Controle necessário (P1) Informação adicional necessária (P1)</t>
  </si>
  <si>
    <t>Crítico</t>
  </si>
  <si>
    <t>Alto</t>
  </si>
  <si>
    <t>Informação adicional necessária (P1) antes de se decidir se há necessidade de controle adicional.</t>
  </si>
  <si>
    <t>Médio</t>
  </si>
  <si>
    <t>Informação adicional necessária (P1)</t>
  </si>
  <si>
    <t>Baixo</t>
  </si>
  <si>
    <t>Nenhuma informação adicional é necessária.</t>
  </si>
  <si>
    <t>Irrelevante</t>
  </si>
  <si>
    <t>Controle necessário (P1) Informação adicional necessária (P2)</t>
  </si>
  <si>
    <t>Monitorar após adotar medidas de controle (P1)</t>
  </si>
  <si>
    <t>Informação adicional necessária (P2) antes de se decidir se há necessidade de controle adicional.</t>
  </si>
  <si>
    <t>Trimestral (P1)</t>
  </si>
  <si>
    <t>Informação adicional necessária (P2)</t>
  </si>
  <si>
    <t>Semestral (P1)</t>
  </si>
  <si>
    <t>Anual (P1)</t>
  </si>
  <si>
    <t>Controle necessário (P1)</t>
  </si>
  <si>
    <t>Manter o controle existente. (P1) Controle adicional necessário se for possível e viável. (P2)</t>
  </si>
  <si>
    <t xml:space="preserve">Nenhum controle adicional é necessário. Manter o controle existente. (P1)
</t>
  </si>
  <si>
    <t>Monitoramento periódico não necessário.</t>
  </si>
  <si>
    <t>Nenhuma ação é necessária.</t>
  </si>
  <si>
    <t>Anual (P2)</t>
  </si>
  <si>
    <t>Altamente incerta</t>
  </si>
  <si>
    <t>Incerta</t>
  </si>
  <si>
    <t>Certa</t>
  </si>
  <si>
    <t>INCERTEZA:</t>
  </si>
  <si>
    <t>RISCO:</t>
  </si>
  <si>
    <t>MATRIZ 2</t>
  </si>
  <si>
    <t>MATRIZ 1</t>
  </si>
  <si>
    <t>CHAVE</t>
  </si>
  <si>
    <t>RESULTADO</t>
  </si>
  <si>
    <t>Fatal ou incapacitante</t>
  </si>
  <si>
    <t>provável</t>
  </si>
  <si>
    <t>Irreversível, severo</t>
  </si>
  <si>
    <t>pouco provável</t>
  </si>
  <si>
    <t>Reversível, severo</t>
  </si>
  <si>
    <t>improvável</t>
  </si>
  <si>
    <t>Reversível, leve</t>
  </si>
  <si>
    <t>altamente improvável</t>
  </si>
  <si>
    <t>Gravidade</t>
  </si>
  <si>
    <t>G:</t>
  </si>
  <si>
    <t xml:space="preserve">Probabilidade </t>
  </si>
  <si>
    <t>P:</t>
  </si>
  <si>
    <r>
      <t xml:space="preserve">(CA) </t>
    </r>
    <r>
      <rPr>
        <sz val="14"/>
        <color theme="1"/>
        <rFont val="Calibri"/>
        <family val="2"/>
        <scheme val="minor"/>
      </rPr>
      <t xml:space="preserve">Certificado de Aprovação / </t>
    </r>
    <r>
      <rPr>
        <b/>
        <sz val="14"/>
        <color theme="1"/>
        <rFont val="Calibri"/>
        <family val="2"/>
        <scheme val="minor"/>
      </rPr>
      <t xml:space="preserve">(P) </t>
    </r>
    <r>
      <rPr>
        <sz val="14"/>
        <color theme="1"/>
        <rFont val="Calibri"/>
        <family val="2"/>
        <scheme val="minor"/>
      </rPr>
      <t xml:space="preserve">Probabilidade / </t>
    </r>
    <r>
      <rPr>
        <b/>
        <sz val="14"/>
        <color theme="1"/>
        <rFont val="Calibri"/>
        <family val="2"/>
        <scheme val="minor"/>
      </rPr>
      <t xml:space="preserve">(G) </t>
    </r>
    <r>
      <rPr>
        <sz val="14"/>
        <color theme="1"/>
        <rFont val="Calibri"/>
        <family val="2"/>
        <scheme val="minor"/>
      </rPr>
      <t xml:space="preserve">Gravidade / </t>
    </r>
    <r>
      <rPr>
        <b/>
        <sz val="14"/>
        <color theme="1"/>
        <rFont val="Calibri"/>
        <family val="2"/>
        <scheme val="minor"/>
      </rPr>
      <t xml:space="preserve">(IN) </t>
    </r>
    <r>
      <rPr>
        <sz val="14"/>
        <color theme="1"/>
        <rFont val="Calibri"/>
        <family val="2"/>
        <scheme val="minor"/>
      </rPr>
      <t xml:space="preserve">Grau de Incerteza / </t>
    </r>
    <r>
      <rPr>
        <b/>
        <sz val="14"/>
        <color theme="1"/>
        <rFont val="Calibri"/>
        <family val="2"/>
        <scheme val="minor"/>
      </rPr>
      <t xml:space="preserve">(HP) </t>
    </r>
    <r>
      <rPr>
        <sz val="14"/>
        <color theme="1"/>
        <rFont val="Calibri"/>
        <family val="2"/>
        <scheme val="minor"/>
      </rPr>
      <t xml:space="preserve">Habitual e Permanente / </t>
    </r>
    <r>
      <rPr>
        <b/>
        <sz val="14"/>
        <color theme="1"/>
        <rFont val="Calibri"/>
        <family val="2"/>
        <scheme val="minor"/>
      </rPr>
      <t xml:space="preserve">(HI) </t>
    </r>
    <r>
      <rPr>
        <sz val="14"/>
        <color theme="1"/>
        <rFont val="Calibri"/>
        <family val="2"/>
        <scheme val="minor"/>
      </rPr>
      <t xml:space="preserve">Habitual e Intermitente / </t>
    </r>
    <r>
      <rPr>
        <b/>
        <sz val="14"/>
        <color theme="1"/>
        <rFont val="Calibri"/>
        <family val="2"/>
        <scheme val="minor"/>
      </rPr>
      <t xml:space="preserve">(EV) </t>
    </r>
    <r>
      <rPr>
        <sz val="14"/>
        <color theme="1"/>
        <rFont val="Calibri"/>
        <family val="2"/>
        <scheme val="minor"/>
      </rPr>
      <t xml:space="preserve">Eventual / </t>
    </r>
    <r>
      <rPr>
        <b/>
        <sz val="14"/>
        <color theme="1"/>
        <rFont val="Calibri"/>
        <family val="2"/>
        <scheme val="minor"/>
      </rPr>
      <t xml:space="preserve">(INT) </t>
    </r>
    <r>
      <rPr>
        <sz val="14"/>
        <color theme="1"/>
        <rFont val="Calibri"/>
        <family val="2"/>
        <scheme val="minor"/>
      </rPr>
      <t>Intermitente.</t>
    </r>
  </si>
  <si>
    <r>
      <t xml:space="preserve">POAD: </t>
    </r>
    <r>
      <rPr>
        <sz val="14"/>
        <color theme="1"/>
        <rFont val="Calibri"/>
        <family val="2"/>
        <scheme val="minor"/>
      </rPr>
      <t xml:space="preserve">Procedimentos Administrativos / </t>
    </r>
    <r>
      <rPr>
        <b/>
        <sz val="14"/>
        <color theme="1"/>
        <rFont val="Calibri"/>
        <family val="2"/>
        <scheme val="minor"/>
      </rPr>
      <t xml:space="preserve">EPC: </t>
    </r>
    <r>
      <rPr>
        <sz val="14"/>
        <color theme="1"/>
        <rFont val="Calibri"/>
        <family val="2"/>
        <scheme val="minor"/>
      </rPr>
      <t xml:space="preserve">Equipamentos de Proteção Coletivo / </t>
    </r>
    <r>
      <rPr>
        <b/>
        <sz val="14"/>
        <color theme="1"/>
        <rFont val="Calibri"/>
        <family val="2"/>
        <scheme val="minor"/>
      </rPr>
      <t xml:space="preserve">EPI: </t>
    </r>
    <r>
      <rPr>
        <sz val="14"/>
        <color theme="1"/>
        <rFont val="Calibri"/>
        <family val="2"/>
        <scheme val="minor"/>
      </rPr>
      <t xml:space="preserve">Equipamentos de Proteção Individual / </t>
    </r>
    <r>
      <rPr>
        <b/>
        <sz val="14"/>
        <color theme="1"/>
        <rFont val="Calibri"/>
        <family val="2"/>
        <scheme val="minor"/>
      </rPr>
      <t xml:space="preserve">(S) </t>
    </r>
    <r>
      <rPr>
        <sz val="14"/>
        <color theme="1"/>
        <rFont val="Calibri"/>
        <family val="2"/>
        <scheme val="minor"/>
      </rPr>
      <t>SIM</t>
    </r>
    <r>
      <rPr>
        <b/>
        <sz val="14"/>
        <color theme="1"/>
        <rFont val="Calibri"/>
        <family val="2"/>
        <scheme val="minor"/>
      </rPr>
      <t xml:space="preserve"> / (N) </t>
    </r>
    <r>
      <rPr>
        <sz val="14"/>
        <color theme="1"/>
        <rFont val="Calibri"/>
        <family val="2"/>
        <scheme val="minor"/>
      </rPr>
      <t>NÃO</t>
    </r>
    <r>
      <rPr>
        <b/>
        <sz val="14"/>
        <color theme="1"/>
        <rFont val="Calibri"/>
        <family val="2"/>
        <scheme val="minor"/>
      </rPr>
      <t xml:space="preserve"> / (N AV) </t>
    </r>
    <r>
      <rPr>
        <sz val="14"/>
        <color theme="1"/>
        <rFont val="Calibri"/>
        <family val="2"/>
        <scheme val="minor"/>
      </rPr>
      <t xml:space="preserve">Não Avaliado / </t>
    </r>
    <r>
      <rPr>
        <b/>
        <sz val="14"/>
        <color theme="1"/>
        <rFont val="Calibri"/>
        <family val="2"/>
        <scheme val="minor"/>
      </rPr>
      <t xml:space="preserve">(NA) </t>
    </r>
    <r>
      <rPr>
        <sz val="14"/>
        <color theme="1"/>
        <rFont val="Calibri"/>
        <family val="2"/>
        <scheme val="minor"/>
      </rPr>
      <t xml:space="preserve">Não se Aplica / </t>
    </r>
    <r>
      <rPr>
        <b/>
        <sz val="14"/>
        <color theme="1"/>
        <rFont val="Calibri"/>
        <family val="2"/>
        <scheme val="minor"/>
      </rPr>
      <t xml:space="preserve">(I) </t>
    </r>
    <r>
      <rPr>
        <sz val="14"/>
        <color theme="1"/>
        <rFont val="Calibri"/>
        <family val="2"/>
        <scheme val="minor"/>
      </rPr>
      <t>inexistente</t>
    </r>
  </si>
  <si>
    <t>4 - provável</t>
  </si>
  <si>
    <r>
      <rPr>
        <b/>
        <sz val="14"/>
        <color theme="1"/>
        <rFont val="Calibri"/>
        <family val="2"/>
        <scheme val="minor"/>
      </rPr>
      <t>(P1)</t>
    </r>
    <r>
      <rPr>
        <sz val="11"/>
        <color theme="1"/>
        <rFont val="Calibri"/>
        <family val="2"/>
        <scheme val="minor"/>
      </rPr>
      <t xml:space="preserve"> prioridade 1 </t>
    </r>
  </si>
  <si>
    <r>
      <rPr>
        <b/>
        <sz val="14"/>
        <color theme="1"/>
        <rFont val="Calibri"/>
        <family val="2"/>
        <scheme val="minor"/>
      </rPr>
      <t>(P2)</t>
    </r>
    <r>
      <rPr>
        <sz val="11"/>
        <color theme="1"/>
        <rFont val="Calibri"/>
        <family val="2"/>
        <scheme val="minor"/>
      </rPr>
      <t xml:space="preserve"> prioridade 2 (secundária)</t>
    </r>
  </si>
  <si>
    <t>1 - Reversível, leve</t>
  </si>
  <si>
    <t>F</t>
  </si>
  <si>
    <t>..</t>
  </si>
  <si>
    <t>GES:</t>
  </si>
  <si>
    <t>01</t>
  </si>
  <si>
    <t>SETOR:</t>
  </si>
  <si>
    <t>Total de Trabalhadores Expostos:</t>
  </si>
  <si>
    <t>Fase:</t>
  </si>
  <si>
    <t>( ) Antecipação     (x) Reconhecimento</t>
  </si>
  <si>
    <t>Administrativo</t>
  </si>
  <si>
    <t>02</t>
  </si>
  <si>
    <t>Ruído</t>
  </si>
  <si>
    <t>Sistema Auditivo</t>
  </si>
  <si>
    <t>85,0 dB(A)</t>
  </si>
  <si>
    <t>Protetor Auditivo</t>
  </si>
  <si>
    <t>18 dB(A)</t>
  </si>
  <si>
    <t>79,8 dB(A)</t>
  </si>
  <si>
    <t>Quantitativa</t>
  </si>
  <si>
    <t>B</t>
  </si>
  <si>
    <t>Biológico</t>
  </si>
  <si>
    <t>Qualitativo</t>
  </si>
  <si>
    <t>2 - Reversível, severo</t>
  </si>
  <si>
    <t>Atenuação /
Fator de Proteção</t>
  </si>
  <si>
    <t>03</t>
  </si>
  <si>
    <t>Protetor auditivo</t>
  </si>
  <si>
    <t>Quantitativo</t>
  </si>
  <si>
    <t>04</t>
  </si>
  <si>
    <t>Máquinas e equipamentos presentes no setor</t>
  </si>
  <si>
    <t>18,0 dB(A)</t>
  </si>
  <si>
    <t>79,2 dB(A)</t>
  </si>
  <si>
    <t>Q</t>
  </si>
  <si>
    <t>Ácido Clorídrico</t>
  </si>
  <si>
    <t>Sistema Respiratório/ Irritação</t>
  </si>
  <si>
    <t>4 ppm</t>
  </si>
  <si>
    <t>Capela com exaustão; Chuveiro de segurança</t>
  </si>
  <si>
    <t>Luva nitrílica</t>
  </si>
  <si>
    <t>&lt; 0,1 ppm</t>
  </si>
  <si>
    <t>Clorofórmio</t>
  </si>
  <si>
    <t>0,2 ppm</t>
  </si>
  <si>
    <t>Ácido Acético</t>
  </si>
  <si>
    <t>05</t>
  </si>
  <si>
    <t>Máquinas de envase</t>
  </si>
  <si>
    <t>82,0 dB(A)</t>
  </si>
  <si>
    <t>Capela de Exaustão</t>
  </si>
  <si>
    <t>&lt; 0,2 ppm</t>
  </si>
  <si>
    <t>Ácido Nítrilico</t>
  </si>
  <si>
    <t>Chuveiro de Segurança</t>
  </si>
  <si>
    <t>Óculos de ampla visão</t>
  </si>
  <si>
    <t>Monóxido de Carbono</t>
  </si>
  <si>
    <t>39 ppm</t>
  </si>
  <si>
    <t>&lt; 2 ppm</t>
  </si>
  <si>
    <t>Cloro</t>
  </si>
  <si>
    <t>0,8 ppm</t>
  </si>
  <si>
    <t>Lava Ólhos</t>
  </si>
  <si>
    <t>&lt; 0,02 ppm</t>
  </si>
  <si>
    <t>06</t>
  </si>
  <si>
    <t>Calor</t>
  </si>
  <si>
    <t>Sudorese/ Fadiga</t>
  </si>
  <si>
    <t>26,7 °C</t>
  </si>
  <si>
    <t>Máquinas presentes na produção</t>
  </si>
  <si>
    <t>24,8 °C</t>
  </si>
  <si>
    <t>Circulação da empilhadeira</t>
  </si>
  <si>
    <t>87,3 dB(A)</t>
  </si>
  <si>
    <t>3 - pouco provável</t>
  </si>
  <si>
    <t>Sistema Respiratório</t>
  </si>
  <si>
    <t>5 ppm</t>
  </si>
  <si>
    <t>07</t>
  </si>
  <si>
    <t>Recebimento; Conferência e Armazenamento de produtos.</t>
  </si>
  <si>
    <t>Sistema de exaustão</t>
  </si>
  <si>
    <t>08</t>
  </si>
  <si>
    <t>Durante o processo de utilização da empilhadeira</t>
  </si>
  <si>
    <t>83,2 dB(A)</t>
  </si>
  <si>
    <t>Vibração</t>
  </si>
  <si>
    <t>Lombalgia</t>
  </si>
  <si>
    <t>Aren: 0,32 m/s²
VDVR: 2,1 m/s²</t>
  </si>
  <si>
    <t>Manutenção Elétrica</t>
  </si>
  <si>
    <t>A</t>
  </si>
  <si>
    <t>Choque Elétrico</t>
  </si>
  <si>
    <t>Queimaduras; Problemas vasculares</t>
  </si>
  <si>
    <t>Processo de instalação e reparação de tomadas e pontos elétricos</t>
  </si>
  <si>
    <t>Luva isolante</t>
  </si>
  <si>
    <t>DATA PARA CONCLUSÃO DA AÇÃO  (mm/aa)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</si>
  <si>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</si>
  <si>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</si>
  <si>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</si>
  <si>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</si>
  <si>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</si>
  <si>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</si>
  <si>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</si>
  <si>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</si>
  <si>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</si>
  <si>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</si>
  <si>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</si>
  <si>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</si>
  <si>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PLANO DE AÇÕES</t>
  </si>
  <si>
    <t>PERMANENTE</t>
  </si>
  <si>
    <t>Serviços administrativos em geral.</t>
  </si>
  <si>
    <t>Descrição do Setor:</t>
  </si>
  <si>
    <t>Ambiente climatizado e limpo; Pé direito 2,70 m; Fechamento em alvenaria; piso revestido em paviflex; iluminação artificial através de lâmpadas fluorescentes.</t>
  </si>
  <si>
    <t>Envase dos produtos químicos utilizados para limpeza.</t>
  </si>
  <si>
    <t>Ambiente localizado no Galpão; Pé direito acima de 3,00 m; Fechamento em alvenaria; piso cimentado; iluminação artificial através de lâmpadas fluorescentes.</t>
  </si>
  <si>
    <t>Ambiente climatizado e limpo; Pé direito 2,70 m; Fechamento em alvenaria; piso em cerâmica; iluminação artificial através de lâmpadas fluorescentes.</t>
  </si>
  <si>
    <t>Linha de produção dos fracionados.</t>
  </si>
  <si>
    <t>Linha de produção; armazenamento dos produtos e materiais.</t>
  </si>
  <si>
    <t>Manutenção preventiva e corretiva das instalações elétricas de máquinas, equipamentos e estrutural.</t>
  </si>
  <si>
    <t>Sala localizada no Galpão; Pé direito de 3,00 m; Fechamento em divisória naval; piso cimentado; iluminação artificial através de lâmpadas fluorescentes.</t>
  </si>
  <si>
    <t>E</t>
  </si>
  <si>
    <t>Fatores Ergonômicos</t>
  </si>
  <si>
    <t>doenças osteo musculares</t>
  </si>
  <si>
    <t>Avaliação Qualitativa</t>
  </si>
  <si>
    <t>NA</t>
  </si>
  <si>
    <t>Arranjo físico; Postura inadequada; Posto de trabalho inadequado</t>
  </si>
  <si>
    <t>Queda de pessoa com diferença de nível</t>
  </si>
  <si>
    <t>Fraturas; torsões, politraumatismo</t>
  </si>
  <si>
    <t>NR 17</t>
  </si>
  <si>
    <t>Corrimão</t>
  </si>
  <si>
    <t>Comercial Externo</t>
  </si>
  <si>
    <t>Áreas de lavanderia dos hospitais.</t>
  </si>
  <si>
    <t>Comercialização de produtos em instalações de clientes em hospitais.</t>
  </si>
  <si>
    <t>Máquinas equipamentos da lavanderia</t>
  </si>
  <si>
    <t>NR 32</t>
  </si>
  <si>
    <t>Diversas doenças</t>
  </si>
  <si>
    <t>Avental de PVC; óculos de proteção</t>
  </si>
  <si>
    <r>
      <rPr>
        <b/>
        <sz val="8"/>
        <color theme="1"/>
        <rFont val="Calibri"/>
        <family val="2"/>
        <scheme val="minor"/>
      </rPr>
      <t>Observação.:</t>
    </r>
    <r>
      <rPr>
        <sz val="8"/>
        <color theme="1"/>
        <rFont val="Calibri"/>
        <family val="2"/>
        <scheme val="minor"/>
      </rPr>
      <t xml:space="preserve"> </t>
    </r>
  </si>
  <si>
    <t xml:space="preserve"> Laboratório </t>
  </si>
  <si>
    <t>Controle de qualidade de matérias primas e produtos.</t>
  </si>
  <si>
    <t>NR 15                     85,0 dB(A)</t>
  </si>
  <si>
    <t>NR 15                          4 ppm</t>
  </si>
  <si>
    <t>Análises laboratoriais</t>
  </si>
  <si>
    <t>Luva nitrílica; óculos de segurança ampla visão; jaleco com manga comprida</t>
  </si>
  <si>
    <t>NR 15                          20 ppm</t>
  </si>
  <si>
    <t>NR 15                          8 ppm</t>
  </si>
  <si>
    <t xml:space="preserve"> ACGIH - TLV                     TWA – 2 ppm        (5mg/m3)
STEL – 4 ppm (10mg/m3)
</t>
  </si>
  <si>
    <t>Durante o processo de produção e envase dos produtos</t>
  </si>
  <si>
    <t>Fabricação de Fracionados</t>
  </si>
  <si>
    <t>Fabricação e Envase</t>
  </si>
  <si>
    <t>Estoque</t>
  </si>
  <si>
    <t>Logistica de materiais</t>
  </si>
  <si>
    <t>NR 15                         39 ppm</t>
  </si>
  <si>
    <t>NR 15                     Aren: 1,0 m/s²
VDVR: 21,0 m/s²</t>
  </si>
  <si>
    <t>NR 15                          39 ppm</t>
  </si>
  <si>
    <t>NR 15                      85,0 dB(A)</t>
  </si>
  <si>
    <t xml:space="preserve">   TABELA DE IDENTIFICAÇÃO DE PERIGOS POR GES (Grupo de Exposição Similar)</t>
  </si>
  <si>
    <t>SETOR/ LOCAL</t>
  </si>
  <si>
    <t>AÇÃO</t>
  </si>
  <si>
    <t>INÍCIO DA AÇÃO</t>
  </si>
  <si>
    <t>Fornecimento de EPI´s, conforme tabela EPI X FUNÇÃO</t>
  </si>
  <si>
    <t>imediato</t>
  </si>
  <si>
    <t>Ministrar treinamento aos trabalhadores sobre a necessidade e correta utilização dos EPI’s (equipamentos de proteção individual e MEDIDAS DE PROTEÇÃO COLETIVA), além de orientações quanto à forma correta para realizar sua conservação, guarda e higienização. Orienta-los ainda quanto à suas obrigações com relação aos equipamentos de proteção individual.</t>
  </si>
  <si>
    <t>Estabelecer procedimentos para aquisição, entrega e substituição dos EPI’s adequados à cada atividade.</t>
  </si>
  <si>
    <t>Registrar a entrega e substituição dos EPI’s, bem como o treinamento para sua correta utilização, em ficha apropriada, assinada OBRIGATORIAMENTE pelos empregados.</t>
  </si>
  <si>
    <r>
      <t xml:space="preserve">Exigir dos fornecedores de EPI’s, os respectivos </t>
    </r>
    <r>
      <rPr>
        <b/>
        <sz val="11"/>
        <rFont val="Calibri"/>
        <family val="2"/>
      </rPr>
      <t>CA</t>
    </r>
    <r>
      <rPr>
        <sz val="11"/>
        <rFont val="Calibri"/>
        <family val="2"/>
      </rPr>
      <t xml:space="preserve"> - Certificado de Aprovação atualizados, mantendo atualizado os laudos técnicos destes EPI’s, fornecidos pelos fabricantes, assegurando sua efetiva proteção, como estabelece a NR-6 “Equipamentos de Proteção Individual - EPI” .</t>
    </r>
  </si>
  <si>
    <t>Manter locais adequados para higienização e guarda dos EPI’s.</t>
  </si>
  <si>
    <t>Controle de Equipamentos de Proteção Individual</t>
  </si>
  <si>
    <t>Arranjo físico; Postura inadequada; Levantamento de peso</t>
  </si>
  <si>
    <t>Escadas</t>
  </si>
  <si>
    <t>Respingo de produtos químicos</t>
  </si>
  <si>
    <t>Manipulação/análise/transporte  de amostras de químicos</t>
  </si>
  <si>
    <t>Capela com exaustão; Chuveiro de segurança; procedimento para manipulação de amostras químicas</t>
  </si>
  <si>
    <t>Envase de produtos químicos</t>
  </si>
  <si>
    <t xml:space="preserve">Queimaduras </t>
  </si>
  <si>
    <t>Desnível de plataforma</t>
  </si>
  <si>
    <t>Guarda corpo</t>
  </si>
  <si>
    <t>Arranjo físico; Postura inadequada; Levantamento de peso; trabalho repetitivo</t>
  </si>
  <si>
    <t>Circulação de empilhadeira a gás (GLP)</t>
  </si>
  <si>
    <t>Armazenamento de inflamáveis</t>
  </si>
  <si>
    <t>Acesso a ambiente com armazenamento de inflamáveis</t>
  </si>
  <si>
    <t>Acidente com incêndio/explosões</t>
  </si>
  <si>
    <t>Controle de acesso restrito; sistema de exautão; aterramento</t>
  </si>
  <si>
    <t>3 - Irreversível, severo</t>
  </si>
  <si>
    <t>4 - Fatal ou incapacitante</t>
  </si>
  <si>
    <t>Desenergisação dos sistemas; instruções de trabalho; procedimento de desenergização LOTOTO.</t>
  </si>
  <si>
    <t xml:space="preserve">Maquinas e equipamentos </t>
  </si>
  <si>
    <t>Condução Empilhadeira</t>
  </si>
  <si>
    <t>Motor Empilhadeira (GLP)</t>
  </si>
  <si>
    <r>
      <rPr>
        <b/>
        <sz val="8"/>
        <color theme="1"/>
        <rFont val="Calibri"/>
        <family val="2"/>
        <scheme val="minor"/>
      </rPr>
      <t>Observação.:</t>
    </r>
    <r>
      <rPr>
        <sz val="8"/>
        <color theme="1"/>
        <rFont val="Calibri"/>
        <family val="2"/>
        <scheme val="minor"/>
      </rPr>
      <t xml:space="preserve"> Necessário realização de análise ergonômica de acordo com NR 17. Implantar política de controle de acidentes, para intervenções necessárias.</t>
    </r>
  </si>
  <si>
    <t>Diversos microorganismos (roupas/uniformes, dentre outros/ contaminados do hospital)</t>
  </si>
  <si>
    <t>Todos os GES</t>
  </si>
  <si>
    <t>Realizar análise ergonônica para todas as atividades de acordo com NR 17. Após revisar o plano de ação para as medidas cabíveis.</t>
  </si>
  <si>
    <t>Implantar política de controle de acidentes para intervenções necessária, bem como procedimento para acidente de pessoa com queda  de desnível "escada".</t>
  </si>
  <si>
    <t>Implantar política de controle de acidentes para intervenções necessária, bem como procedimento para acesso a áreas com inflamáveis.</t>
  </si>
  <si>
    <t>Implantar política de controle de acidentes para intervenções necessária, bem como procedimento para manipulação e transporte de amostras de produtos químicos</t>
  </si>
  <si>
    <t>GES 1</t>
  </si>
  <si>
    <t>GES 3</t>
  </si>
  <si>
    <t>GES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</si>
</sst>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10"/>
      <name val="Arial"/>
      <family val="2"/>
    </font>
    <font>
      <sz val="10"/>
      <color indexed="9"/>
      <name val="Verdana"/>
      <family val="2"/>
    </font>
    <font>
      <sz val="10"/>
      <name val="Verdana"/>
      <family val="2"/>
    </font>
    <font>
      <sz val="6"/>
      <color indexed="9"/>
      <name val="Verdana"/>
      <family val="2"/>
    </font>
    <font>
      <sz val="10"/>
      <name val="Century Gothic"/>
      <family val="2"/>
    </font>
    <font>
      <b/>
      <sz val="9"/>
      <color theme="0"/>
      <name val="Calibri"/>
      <family val="2"/>
    </font>
    <font>
      <b/>
      <sz val="12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indexed="8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9" fillId="0" borderId="0"/>
  </cellStyleXfs>
  <cellXfs count="158">
    <xf numFmtId="0" fontId="0" fillId="0" borderId="0" xfId="0"/>
    <xf numFmtId="0" fontId="1" fillId="0" borderId="0" xfId="0" applyFont="1"/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vertical="center" wrapText="1"/>
    </xf>
    <xf numFmtId="0" fontId="0" fillId="5" borderId="0" xfId="0" applyFill="1"/>
    <xf numFmtId="0" fontId="0" fillId="5" borderId="0" xfId="0" applyFill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3" fillId="4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11" fillId="7" borderId="10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7" fillId="9" borderId="0" xfId="0" applyFont="1" applyFill="1"/>
    <xf numFmtId="0" fontId="1" fillId="9" borderId="0" xfId="0" applyFont="1" applyFill="1"/>
    <xf numFmtId="0" fontId="14" fillId="0" borderId="0" xfId="0" applyFont="1"/>
    <xf numFmtId="0" fontId="10" fillId="7" borderId="4" xfId="0" applyFont="1" applyFill="1" applyBorder="1" applyAlignment="1">
      <alignment vertical="center" wrapText="1"/>
    </xf>
    <xf numFmtId="0" fontId="10" fillId="7" borderId="3" xfId="0" applyFont="1" applyFill="1" applyBorder="1" applyAlignment="1">
      <alignment vertical="center" wrapText="1"/>
    </xf>
    <xf numFmtId="0" fontId="10" fillId="7" borderId="13" xfId="0" applyFont="1" applyFill="1" applyBorder="1" applyAlignment="1">
      <alignment vertical="center" wrapText="1"/>
    </xf>
    <xf numFmtId="0" fontId="12" fillId="7" borderId="6" xfId="0" applyFont="1" applyFill="1" applyBorder="1" applyAlignment="1">
      <alignment horizontal="center" vertical="center" wrapText="1"/>
    </xf>
    <xf numFmtId="0" fontId="16" fillId="0" borderId="6" xfId="0" applyFont="1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 wrapText="1"/>
    </xf>
    <xf numFmtId="0" fontId="0" fillId="0" borderId="0" xfId="0" applyBorder="1"/>
    <xf numFmtId="0" fontId="8" fillId="0" borderId="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20" fillId="0" borderId="0" xfId="1" applyFont="1"/>
    <xf numFmtId="0" fontId="21" fillId="0" borderId="0" xfId="1" applyFont="1"/>
    <xf numFmtId="0" fontId="22" fillId="0" borderId="0" xfId="1" applyFont="1"/>
    <xf numFmtId="0" fontId="23" fillId="0" borderId="0" xfId="0" applyFont="1"/>
    <xf numFmtId="0" fontId="19" fillId="0" borderId="0" xfId="1" applyAlignment="1">
      <alignment horizontal="left" vertical="center" wrapText="1"/>
    </xf>
    <xf numFmtId="0" fontId="19" fillId="0" borderId="0" xfId="1" applyAlignment="1">
      <alignment horizontal="center"/>
    </xf>
    <xf numFmtId="0" fontId="19" fillId="0" borderId="0" xfId="1"/>
    <xf numFmtId="0" fontId="26" fillId="0" borderId="15" xfId="0" applyFont="1" applyFill="1" applyBorder="1" applyAlignment="1">
      <alignment horizontal="justify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29" fillId="0" borderId="4" xfId="0" applyFont="1" applyFill="1" applyBorder="1" applyAlignment="1">
      <alignment vertical="center" wrapText="1"/>
    </xf>
    <xf numFmtId="0" fontId="31" fillId="0" borderId="1" xfId="0" applyFont="1" applyFill="1" applyBorder="1" applyAlignment="1">
      <alignment vertical="center" wrapText="1"/>
    </xf>
    <xf numFmtId="0" fontId="31" fillId="0" borderId="1" xfId="0" applyFont="1" applyFill="1" applyBorder="1" applyAlignment="1">
      <alignment horizontal="left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17" fillId="0" borderId="9" xfId="0" applyFont="1" applyFill="1" applyBorder="1" applyAlignment="1">
      <alignment horizontal="center" vertical="center" wrapText="1"/>
    </xf>
    <xf numFmtId="0" fontId="16" fillId="0" borderId="9" xfId="0" applyFont="1" applyFill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49" fontId="24" fillId="7" borderId="24" xfId="1" applyNumberFormat="1" applyFont="1" applyFill="1" applyBorder="1" applyAlignment="1">
      <alignment horizontal="center" vertical="center"/>
    </xf>
    <xf numFmtId="49" fontId="24" fillId="7" borderId="25" xfId="1" applyNumberFormat="1" applyFont="1" applyFill="1" applyBorder="1" applyAlignment="1">
      <alignment horizontal="center" vertical="center"/>
    </xf>
    <xf numFmtId="0" fontId="26" fillId="0" borderId="15" xfId="0" applyFont="1" applyFill="1" applyBorder="1" applyAlignment="1">
      <alignment horizontal="center"/>
    </xf>
    <xf numFmtId="0" fontId="26" fillId="0" borderId="15" xfId="0" applyFont="1" applyFill="1" applyBorder="1"/>
    <xf numFmtId="0" fontId="26" fillId="7" borderId="15" xfId="0" applyFont="1" applyFill="1" applyBorder="1" applyAlignment="1">
      <alignment horizontal="center"/>
    </xf>
    <xf numFmtId="0" fontId="26" fillId="0" borderId="18" xfId="0" applyFont="1" applyFill="1" applyBorder="1" applyAlignment="1">
      <alignment horizontal="center"/>
    </xf>
    <xf numFmtId="0" fontId="27" fillId="0" borderId="15" xfId="0" applyFont="1" applyFill="1" applyBorder="1" applyAlignment="1">
      <alignment vertical="center"/>
    </xf>
    <xf numFmtId="0" fontId="27" fillId="7" borderId="15" xfId="0" applyFont="1" applyFill="1" applyBorder="1" applyAlignment="1">
      <alignment vertical="center"/>
    </xf>
    <xf numFmtId="0" fontId="27" fillId="0" borderId="18" xfId="0" applyFont="1" applyFill="1" applyBorder="1" applyAlignment="1">
      <alignment vertical="center"/>
    </xf>
    <xf numFmtId="0" fontId="8" fillId="0" borderId="3" xfId="0" applyFont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26" fillId="0" borderId="34" xfId="0" applyFont="1" applyFill="1" applyBorder="1" applyAlignment="1">
      <alignment horizontal="justify" vertical="center" wrapText="1"/>
    </xf>
    <xf numFmtId="0" fontId="26" fillId="0" borderId="34" xfId="0" applyFont="1" applyFill="1" applyBorder="1"/>
    <xf numFmtId="0" fontId="26" fillId="7" borderId="34" xfId="0" applyFont="1" applyFill="1" applyBorder="1"/>
    <xf numFmtId="0" fontId="26" fillId="0" borderId="35" xfId="0" applyFont="1" applyFill="1" applyBorder="1"/>
    <xf numFmtId="0" fontId="26" fillId="0" borderId="36" xfId="0" applyFont="1" applyFill="1" applyBorder="1" applyAlignment="1">
      <alignment horizontal="center" vertical="center" wrapText="1"/>
    </xf>
    <xf numFmtId="0" fontId="26" fillId="0" borderId="37" xfId="0" applyFont="1" applyFill="1" applyBorder="1" applyAlignment="1">
      <alignment horizontal="justify" vertical="center" wrapText="1"/>
    </xf>
    <xf numFmtId="0" fontId="28" fillId="0" borderId="37" xfId="0" applyFont="1" applyFill="1" applyBorder="1" applyAlignment="1">
      <alignment horizontal="center" vertical="center" wrapText="1"/>
    </xf>
    <xf numFmtId="0" fontId="26" fillId="0" borderId="37" xfId="0" applyFont="1" applyFill="1" applyBorder="1"/>
    <xf numFmtId="0" fontId="27" fillId="7" borderId="37" xfId="0" applyFont="1" applyFill="1" applyBorder="1" applyAlignment="1">
      <alignment vertical="center"/>
    </xf>
    <xf numFmtId="0" fontId="26" fillId="0" borderId="38" xfId="0" applyFont="1" applyFill="1" applyBorder="1"/>
    <xf numFmtId="0" fontId="8" fillId="0" borderId="4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6" fillId="0" borderId="4" xfId="0" applyFont="1" applyFill="1" applyBorder="1" applyAlignment="1">
      <alignment horizontal="justify" vertical="center" wrapText="1"/>
    </xf>
    <xf numFmtId="0" fontId="16" fillId="0" borderId="3" xfId="0" applyFont="1" applyFill="1" applyBorder="1" applyAlignment="1">
      <alignment horizontal="justify" vertical="center" wrapText="1"/>
    </xf>
    <xf numFmtId="0" fontId="16" fillId="0" borderId="2" xfId="0" applyFont="1" applyFill="1" applyBorder="1" applyAlignment="1">
      <alignment horizontal="justify" vertical="center" wrapText="1"/>
    </xf>
    <xf numFmtId="0" fontId="11" fillId="7" borderId="7" xfId="0" applyFont="1" applyFill="1" applyBorder="1" applyAlignment="1">
      <alignment horizontal="center" vertical="center" wrapText="1"/>
    </xf>
    <xf numFmtId="0" fontId="11" fillId="7" borderId="12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8" fillId="7" borderId="7" xfId="0" applyFont="1" applyFill="1" applyBorder="1" applyAlignment="1">
      <alignment horizontal="center" vertical="center" wrapText="1"/>
    </xf>
    <xf numFmtId="0" fontId="18" fillId="7" borderId="5" xfId="0" applyFont="1" applyFill="1" applyBorder="1" applyAlignment="1">
      <alignment horizontal="center" vertical="center" wrapText="1"/>
    </xf>
    <xf numFmtId="49" fontId="30" fillId="0" borderId="3" xfId="0" applyNumberFormat="1" applyFont="1" applyFill="1" applyBorder="1" applyAlignment="1">
      <alignment horizontal="left" vertical="center" wrapText="1"/>
    </xf>
    <xf numFmtId="49" fontId="30" fillId="0" borderId="2" xfId="0" applyNumberFormat="1" applyFont="1" applyFill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16" fillId="0" borderId="3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horizontal="left" vertical="center" wrapText="1"/>
    </xf>
    <xf numFmtId="0" fontId="31" fillId="0" borderId="4" xfId="0" applyFont="1" applyFill="1" applyBorder="1" applyAlignment="1">
      <alignment horizontal="left" vertical="center" wrapText="1"/>
    </xf>
    <xf numFmtId="0" fontId="31" fillId="0" borderId="3" xfId="0" applyFont="1" applyFill="1" applyBorder="1" applyAlignment="1">
      <alignment horizontal="left" vertical="center" wrapText="1"/>
    </xf>
    <xf numFmtId="0" fontId="31" fillId="0" borderId="2" xfId="0" applyFont="1" applyFill="1" applyBorder="1" applyAlignment="1">
      <alignment horizontal="left" vertical="center" wrapText="1"/>
    </xf>
    <xf numFmtId="0" fontId="31" fillId="0" borderId="4" xfId="0" applyFont="1" applyFill="1" applyBorder="1" applyAlignment="1">
      <alignment vertical="center" wrapText="1"/>
    </xf>
    <xf numFmtId="0" fontId="31" fillId="0" borderId="3" xfId="0" applyFont="1" applyFill="1" applyBorder="1" applyAlignment="1">
      <alignment vertical="center" wrapText="1"/>
    </xf>
    <xf numFmtId="0" fontId="31" fillId="0" borderId="2" xfId="0" applyFont="1" applyFill="1" applyBorder="1" applyAlignment="1">
      <alignment vertical="center" wrapText="1"/>
    </xf>
    <xf numFmtId="0" fontId="16" fillId="0" borderId="4" xfId="0" applyFont="1" applyFill="1" applyBorder="1" applyAlignment="1">
      <alignment vertical="center" wrapText="1"/>
    </xf>
    <xf numFmtId="0" fontId="16" fillId="0" borderId="3" xfId="0" applyFont="1" applyFill="1" applyBorder="1" applyAlignment="1">
      <alignment vertical="center" wrapText="1"/>
    </xf>
    <xf numFmtId="0" fontId="16" fillId="0" borderId="2" xfId="0" applyFont="1" applyFill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164" fontId="15" fillId="7" borderId="14" xfId="0" applyNumberFormat="1" applyFont="1" applyFill="1" applyBorder="1" applyAlignment="1">
      <alignment horizontal="center" vertical="center" wrapText="1"/>
    </xf>
    <xf numFmtId="164" fontId="15" fillId="7" borderId="3" xfId="0" applyNumberFormat="1" applyFont="1" applyFill="1" applyBorder="1" applyAlignment="1">
      <alignment horizontal="center" vertical="center" wrapText="1"/>
    </xf>
    <xf numFmtId="164" fontId="15" fillId="7" borderId="2" xfId="0" applyNumberFormat="1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27" fillId="0" borderId="27" xfId="0" applyFont="1" applyFill="1" applyBorder="1" applyAlignment="1">
      <alignment horizontal="center" vertical="center"/>
    </xf>
    <xf numFmtId="0" fontId="27" fillId="0" borderId="28" xfId="0" applyFont="1" applyFill="1" applyBorder="1" applyAlignment="1">
      <alignment horizontal="center" vertical="center"/>
    </xf>
    <xf numFmtId="0" fontId="27" fillId="0" borderId="29" xfId="0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10" xfId="0" applyFont="1" applyFill="1" applyBorder="1" applyAlignment="1">
      <alignment horizontal="center" vertical="center"/>
    </xf>
    <xf numFmtId="0" fontId="27" fillId="0" borderId="31" xfId="0" applyFont="1" applyFill="1" applyBorder="1" applyAlignment="1">
      <alignment horizontal="center" vertical="center"/>
    </xf>
    <xf numFmtId="0" fontId="27" fillId="0" borderId="32" xfId="0" applyFont="1" applyFill="1" applyBorder="1" applyAlignment="1">
      <alignment horizontal="center" vertical="center"/>
    </xf>
    <xf numFmtId="0" fontId="27" fillId="0" borderId="33" xfId="0" applyFont="1" applyFill="1" applyBorder="1" applyAlignment="1">
      <alignment horizontal="center" vertical="center"/>
    </xf>
    <xf numFmtId="0" fontId="26" fillId="0" borderId="26" xfId="0" applyFont="1" applyFill="1" applyBorder="1" applyAlignment="1">
      <alignment horizontal="center" vertical="center" wrapText="1"/>
    </xf>
    <xf numFmtId="0" fontId="26" fillId="0" borderId="19" xfId="0" applyFont="1" applyFill="1" applyBorder="1" applyAlignment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0" fontId="26" fillId="0" borderId="34" xfId="0" applyFont="1" applyFill="1" applyBorder="1" applyAlignment="1">
      <alignment horizontal="center" vertical="center" wrapText="1"/>
    </xf>
    <xf numFmtId="0" fontId="26" fillId="0" borderId="15" xfId="0" applyFont="1" applyFill="1" applyBorder="1" applyAlignment="1">
      <alignment horizontal="center" vertical="center" wrapText="1"/>
    </xf>
    <xf numFmtId="0" fontId="25" fillId="7" borderId="4" xfId="1" applyFont="1" applyFill="1" applyBorder="1" applyAlignment="1">
      <alignment horizontal="center" vertical="center"/>
    </xf>
    <xf numFmtId="0" fontId="25" fillId="7" borderId="3" xfId="1" applyFont="1" applyFill="1" applyBorder="1" applyAlignment="1">
      <alignment horizontal="center" vertical="center"/>
    </xf>
    <xf numFmtId="0" fontId="25" fillId="7" borderId="2" xfId="1" applyFont="1" applyFill="1" applyBorder="1" applyAlignment="1">
      <alignment horizontal="center" vertical="center"/>
    </xf>
    <xf numFmtId="0" fontId="24" fillId="0" borderId="0" xfId="1" applyFont="1" applyBorder="1" applyAlignment="1">
      <alignment horizontal="center" vertical="top"/>
    </xf>
    <xf numFmtId="0" fontId="25" fillId="7" borderId="20" xfId="1" applyFont="1" applyFill="1" applyBorder="1" applyAlignment="1">
      <alignment horizontal="center" vertical="center" wrapText="1"/>
    </xf>
    <xf numFmtId="0" fontId="25" fillId="7" borderId="23" xfId="1" applyFont="1" applyFill="1" applyBorder="1" applyAlignment="1">
      <alignment horizontal="center" vertical="center" wrapText="1"/>
    </xf>
    <xf numFmtId="0" fontId="25" fillId="7" borderId="21" xfId="1" applyFont="1" applyFill="1" applyBorder="1" applyAlignment="1">
      <alignment horizontal="center" vertical="center" wrapText="1"/>
    </xf>
    <xf numFmtId="0" fontId="25" fillId="7" borderId="24" xfId="1" applyFont="1" applyFill="1" applyBorder="1" applyAlignment="1">
      <alignment horizontal="center" vertical="center" wrapText="1"/>
    </xf>
    <xf numFmtId="0" fontId="25" fillId="7" borderId="21" xfId="1" applyFont="1" applyFill="1" applyBorder="1" applyAlignment="1">
      <alignment horizontal="center" vertical="center"/>
    </xf>
    <xf numFmtId="0" fontId="25" fillId="7" borderId="22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5" fillId="0" borderId="8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95"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DE8D7"/>
      <color rgb="FFFF5050"/>
      <color rgb="FFBBD3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66676</xdr:rowOff>
    </xdr:from>
    <xdr:to>
      <xdr:col>2</xdr:col>
      <xdr:colOff>485775</xdr:colOff>
      <xdr:row>0</xdr:row>
      <xdr:rowOff>295276</xdr:rowOff>
    </xdr:to>
    <xdr:sp macro="[0]!ABRIR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4300" y="66676"/>
          <a:ext cx="1552575" cy="228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  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314325</xdr:colOff>
      <xdr:row>7</xdr:row>
      <xdr:rowOff>19050</xdr:rowOff>
    </xdr:from>
    <xdr:to>
      <xdr:col>2</xdr:col>
      <xdr:colOff>781050</xdr:colOff>
      <xdr:row>8</xdr:row>
      <xdr:rowOff>9525</xdr:rowOff>
    </xdr:to>
    <xdr:sp macro="" textlink="">
      <xdr:nvSpPr>
        <xdr:cNvPr id="2" name="Seta em curva para baix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3925" y="1352550"/>
          <a:ext cx="904875" cy="1809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695325</xdr:colOff>
      <xdr:row>14</xdr:row>
      <xdr:rowOff>38100</xdr:rowOff>
    </xdr:from>
    <xdr:to>
      <xdr:col>6</xdr:col>
      <xdr:colOff>476250</xdr:colOff>
      <xdr:row>15</xdr:row>
      <xdr:rowOff>28575</xdr:rowOff>
    </xdr:to>
    <xdr:sp macro="" textlink="">
      <xdr:nvSpPr>
        <xdr:cNvPr id="3" name="Seta em curva para baix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2705100"/>
          <a:ext cx="476250" cy="180975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923925</xdr:colOff>
      <xdr:row>7</xdr:row>
      <xdr:rowOff>9525</xdr:rowOff>
    </xdr:from>
    <xdr:to>
      <xdr:col>3</xdr:col>
      <xdr:colOff>38100</xdr:colOff>
      <xdr:row>7</xdr:row>
      <xdr:rowOff>200025</xdr:rowOff>
    </xdr:to>
    <xdr:sp macro="" textlink="">
      <xdr:nvSpPr>
        <xdr:cNvPr id="4" name="Seta para a direita listrad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28800" y="1343025"/>
          <a:ext cx="38100" cy="180975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219075</xdr:colOff>
      <xdr:row>7</xdr:row>
      <xdr:rowOff>19050</xdr:rowOff>
    </xdr:from>
    <xdr:to>
      <xdr:col>4</xdr:col>
      <xdr:colOff>942975</xdr:colOff>
      <xdr:row>7</xdr:row>
      <xdr:rowOff>209550</xdr:rowOff>
    </xdr:to>
    <xdr:sp macro="" textlink="">
      <xdr:nvSpPr>
        <xdr:cNvPr id="5" name="Seta para a direita listrada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657475" y="1352550"/>
          <a:ext cx="390525" cy="17145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238126</xdr:colOff>
      <xdr:row>0</xdr:row>
      <xdr:rowOff>85724</xdr:rowOff>
    </xdr:from>
    <xdr:to>
      <xdr:col>0</xdr:col>
      <xdr:colOff>1590676</xdr:colOff>
      <xdr:row>3</xdr:row>
      <xdr:rowOff>104775</xdr:rowOff>
    </xdr:to>
    <xdr:sp macro="[0]!ABRIR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38126" y="85724"/>
          <a:ext cx="1352550" cy="647701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 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495300</xdr:colOff>
      <xdr:row>5</xdr:row>
      <xdr:rowOff>66675</xdr:rowOff>
    </xdr:from>
    <xdr:to>
      <xdr:col>10</xdr:col>
      <xdr:colOff>228600</xdr:colOff>
      <xdr:row>9</xdr:row>
      <xdr:rowOff>28575</xdr:rowOff>
    </xdr:to>
    <xdr:sp macro="[0]!ABRI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62500" y="3219450"/>
          <a:ext cx="1562100" cy="7715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 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AD105"/>
  <sheetViews>
    <sheetView showGridLines="0" tabSelected="1" zoomScale="84" zoomScaleNormal="84" zoomScaleSheetLayoutView="115" workbookViewId="0">
      <selection activeCell="D37" sqref="D37"/>
    </sheetView>
  </sheetViews>
  <sheetFormatPr defaultRowHeight="15" x14ac:dyDescent="0.25"/>
  <cols>
    <col min="1" max="1" width="8.140625" customWidth="1"/>
    <col min="2" max="2" width="15.7109375" customWidth="1"/>
    <col min="3" max="3" width="14.140625" customWidth="1"/>
    <col min="4" max="4" width="13" customWidth="1"/>
    <col min="5" max="5" width="15" customWidth="1"/>
    <col min="6" max="6" width="12.85546875" customWidth="1"/>
    <col min="7" max="7" width="4.85546875" customWidth="1"/>
    <col min="8" max="8" width="12.140625" customWidth="1"/>
    <col min="9" max="9" width="10.28515625" customWidth="1"/>
    <col min="10" max="10" width="12.42578125" customWidth="1"/>
    <col min="11" max="11" width="4.7109375" customWidth="1"/>
    <col min="12" max="12" width="11.5703125" customWidth="1"/>
    <col min="13" max="13" width="14.28515625" customWidth="1"/>
    <col min="14" max="14" width="11" style="30" customWidth="1"/>
    <col min="15" max="15" width="13.140625" style="30" customWidth="1"/>
    <col min="16" max="16" width="10.42578125" style="29" customWidth="1"/>
    <col min="17" max="17" width="5.5703125" style="30" customWidth="1"/>
    <col min="18" max="18" width="17.85546875" style="31" customWidth="1"/>
    <col min="19" max="19" width="18.140625" style="31" customWidth="1"/>
    <col min="27" max="30" width="0" hidden="1" customWidth="1"/>
  </cols>
  <sheetData>
    <row r="1" spans="1:30" ht="27" customHeight="1" thickBot="1" x14ac:dyDescent="0.3">
      <c r="A1" s="32"/>
      <c r="B1" s="33"/>
      <c r="C1" s="34"/>
      <c r="D1" s="121" t="s">
        <v>215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18">
        <f ca="1">TODAY()</f>
        <v>44491</v>
      </c>
      <c r="R1" s="119"/>
      <c r="S1" s="120"/>
    </row>
    <row r="2" spans="1:30" ht="9.9499999999999993" customHeight="1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</row>
    <row r="3" spans="1:30" ht="15" customHeight="1" thickBot="1" x14ac:dyDescent="0.3">
      <c r="A3" s="56" t="s">
        <v>76</v>
      </c>
      <c r="B3" s="103" t="s">
        <v>77</v>
      </c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4"/>
    </row>
    <row r="4" spans="1:30" ht="12.75" customHeight="1" thickBot="1" x14ac:dyDescent="0.3">
      <c r="A4" s="57" t="s">
        <v>78</v>
      </c>
      <c r="B4" s="105" t="s">
        <v>82</v>
      </c>
      <c r="C4" s="106"/>
      <c r="D4" s="106"/>
      <c r="E4" s="106"/>
      <c r="F4" s="106"/>
      <c r="G4" s="106"/>
      <c r="H4" s="106"/>
      <c r="I4" s="107"/>
      <c r="J4" s="108" t="s">
        <v>79</v>
      </c>
      <c r="K4" s="109"/>
      <c r="L4" s="109"/>
      <c r="M4" s="105">
        <v>2</v>
      </c>
      <c r="N4" s="106"/>
      <c r="O4" s="107"/>
      <c r="P4" s="58" t="s">
        <v>80</v>
      </c>
      <c r="Q4" s="106" t="s">
        <v>81</v>
      </c>
      <c r="R4" s="109"/>
      <c r="S4" s="110"/>
    </row>
    <row r="5" spans="1:30" ht="12.75" customHeight="1" thickBot="1" x14ac:dyDescent="0.3">
      <c r="A5" s="111" t="s">
        <v>24</v>
      </c>
      <c r="B5" s="112"/>
      <c r="C5" s="112"/>
      <c r="D5" s="112"/>
      <c r="E5" s="113"/>
      <c r="F5" s="111" t="s">
        <v>170</v>
      </c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3"/>
    </row>
    <row r="6" spans="1:30" ht="45" customHeight="1" thickBot="1" x14ac:dyDescent="0.3">
      <c r="A6" s="114" t="s">
        <v>169</v>
      </c>
      <c r="B6" s="115"/>
      <c r="C6" s="115"/>
      <c r="D6" s="115"/>
      <c r="E6" s="116"/>
      <c r="F6" s="92" t="s">
        <v>174</v>
      </c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4"/>
    </row>
    <row r="7" spans="1:30" ht="25.5" customHeight="1" thickBot="1" x14ac:dyDescent="0.3">
      <c r="A7" s="95" t="s">
        <v>23</v>
      </c>
      <c r="B7" s="95" t="s">
        <v>22</v>
      </c>
      <c r="C7" s="95" t="s">
        <v>21</v>
      </c>
      <c r="D7" s="95" t="s">
        <v>20</v>
      </c>
      <c r="E7" s="95" t="s">
        <v>19</v>
      </c>
      <c r="F7" s="98" t="s">
        <v>18</v>
      </c>
      <c r="G7" s="99"/>
      <c r="H7" s="99"/>
      <c r="I7" s="99"/>
      <c r="J7" s="99"/>
      <c r="K7" s="100"/>
      <c r="L7" s="98" t="s">
        <v>17</v>
      </c>
      <c r="M7" s="100"/>
      <c r="N7" s="98" t="s">
        <v>16</v>
      </c>
      <c r="O7" s="99"/>
      <c r="P7" s="99"/>
      <c r="Q7" s="100"/>
      <c r="R7" s="95" t="s">
        <v>15</v>
      </c>
      <c r="S7" s="95" t="s">
        <v>14</v>
      </c>
    </row>
    <row r="8" spans="1:30" ht="18" customHeight="1" x14ac:dyDescent="0.25">
      <c r="A8" s="96"/>
      <c r="B8" s="96"/>
      <c r="C8" s="96"/>
      <c r="D8" s="96"/>
      <c r="E8" s="96"/>
      <c r="F8" s="95" t="s">
        <v>13</v>
      </c>
      <c r="G8" s="25" t="s">
        <v>10</v>
      </c>
      <c r="H8" s="95" t="s">
        <v>12</v>
      </c>
      <c r="I8" s="95" t="s">
        <v>11</v>
      </c>
      <c r="J8" s="95" t="s">
        <v>95</v>
      </c>
      <c r="K8" s="25" t="s">
        <v>10</v>
      </c>
      <c r="L8" s="95" t="s">
        <v>9</v>
      </c>
      <c r="M8" s="95" t="s">
        <v>8</v>
      </c>
      <c r="N8" s="95" t="s">
        <v>7</v>
      </c>
      <c r="O8" s="95" t="s">
        <v>6</v>
      </c>
      <c r="P8" s="101" t="s">
        <v>5</v>
      </c>
      <c r="Q8" s="95" t="s">
        <v>4</v>
      </c>
      <c r="R8" s="96"/>
      <c r="S8" s="96"/>
    </row>
    <row r="9" spans="1:30" ht="22.5" customHeight="1" thickBot="1" x14ac:dyDescent="0.3">
      <c r="A9" s="97"/>
      <c r="B9" s="97"/>
      <c r="C9" s="97"/>
      <c r="D9" s="97"/>
      <c r="E9" s="97"/>
      <c r="F9" s="97"/>
      <c r="G9" s="35" t="s">
        <v>3</v>
      </c>
      <c r="H9" s="97"/>
      <c r="I9" s="97"/>
      <c r="J9" s="97"/>
      <c r="K9" s="35" t="s">
        <v>3</v>
      </c>
      <c r="L9" s="97"/>
      <c r="M9" s="97"/>
      <c r="N9" s="97"/>
      <c r="O9" s="97"/>
      <c r="P9" s="102"/>
      <c r="Q9" s="97"/>
      <c r="R9" s="97"/>
      <c r="S9" s="97"/>
    </row>
    <row r="10" spans="1:30" ht="74.25" customHeight="1" thickBot="1" x14ac:dyDescent="0.3">
      <c r="A10" s="54" t="s">
        <v>149</v>
      </c>
      <c r="B10" s="59" t="s">
        <v>185</v>
      </c>
      <c r="C10" s="59" t="s">
        <v>186</v>
      </c>
      <c r="D10" s="59" t="s">
        <v>75</v>
      </c>
      <c r="E10" s="59" t="s">
        <v>228</v>
      </c>
      <c r="F10" s="59" t="s">
        <v>188</v>
      </c>
      <c r="G10" s="59" t="s">
        <v>75</v>
      </c>
      <c r="H10" s="59" t="s">
        <v>75</v>
      </c>
      <c r="I10" s="59" t="s">
        <v>75</v>
      </c>
      <c r="J10" s="59" t="s">
        <v>75</v>
      </c>
      <c r="K10" s="59" t="s">
        <v>75</v>
      </c>
      <c r="L10" s="59" t="s">
        <v>183</v>
      </c>
      <c r="M10" s="59" t="s">
        <v>182</v>
      </c>
      <c r="N10" s="60" t="s">
        <v>136</v>
      </c>
      <c r="O10" s="60" t="s">
        <v>94</v>
      </c>
      <c r="P10" s="61" t="str">
        <f>IF(AND(AA10=1,AB10=1),"Irrelevante",IF(AND(AA10=3,AB10=1),"Baixo",IF(AND(AA10=1,AB10=2),"Baixo",IF(AND(AA10=1,AB10=3),"Baixo",IF(AND(AA10=2,AB10=2),"Baixo",IF(AND(AA10=4,AB10=2),"Alto",IF(AND(AA10=3,AB10=3),"Alto",IF(AND(AA10=3,AB10=4),"Alto",IF(AND(AA10=2,AB10=4),"Alto",IF(AND(AA10=4,AB10=4),"Crítico",IF(AND(AA10=4,AB10=3),"Alto",IF(AND(AA10=3,AB10=2),"Médio",IF(AND(AA10=1,AB10=4),"Médio",IF(AND(AA10=4,AB10=1),"Médio",IF(AND(AA10=2,AB10=3),"Médio",IF(AND(AA10=2,AB10=1),"Baixo",""))))))))))))))))</f>
        <v>Médio</v>
      </c>
      <c r="Q10" s="60">
        <v>1</v>
      </c>
      <c r="R10" s="62" t="str">
        <f>IF(AND(P10="Irrelevante",Q10=0),"Nenhuma ação é necessária",IF(AND(P10="Irrelevante",Q10=1),"Nenhuma informação adicional é necessária.",IF(AND(P10="Irrelevante",Q10=2),"Nenhuma informação adicional é necessária.",IF(AND(P10="Médio",Q10=0),"Manter o controle existente. (P1) Controle adicional necessário se for possível e viável. (P2)",IF(AND(P10="Médio",Q10=2),"Informação adicional necessária (P1) antes de se decidir se há necessidade de controle adicional.",IF(AND(P10="Alto",Q10=0),"Controle necessário (P1)",IF(AND(P10="Alto",Q10=1),"Controle necessário (P1) Informação adicional necessária (P2)",IF(AND(P10="Alto",Q10=2),"Controle necessário (P1) Informação adicional necessária (P1)",IF(AND(P10="Crítico",Q10=0),"Controle necessário (P1)",IF(AND(P10="Crítico",Q10=2),"Controle necessário (P1) Informação adicional necessária (P1)",IF(AND(P10="Baixo",Q10=1),"Informação adicional necessária (P2)",IF(AND(P10="Baixo",Q10=2),"Informação adicional necessária (P1)",IF(AND(P10="Crítico",Q10=1),"Controle necessário (P1) Informação adicional necessária (P1)",IF(AND(P10="Médio",Q10=1),"Informação adicional necessária (P2) antes de se decidir se há necessidade de controle adicional.",IF(AND(P10="Baixo",Q10=0),"Nenhum controle adicional é necessário. Manter o controle existente. (P1)","")))))))))))))))</f>
        <v>Informação adicional necessária (P2) antes de se decidir se há necessidade de controle adicional.</v>
      </c>
      <c r="S10" s="62" t="str">
        <f>IFERROR(VLOOKUP(AD10,MATRIZ!A:E,5,0),"")</f>
        <v>Anual (P2)</v>
      </c>
      <c r="AA10">
        <f>IFERROR(VLOOKUP(N10,MATRIZ!H:I,2,0),"")</f>
        <v>3</v>
      </c>
      <c r="AB10">
        <f>IFERROR(VLOOKUP(O10,MATRIZ!K:L,2,0),"")</f>
        <v>2</v>
      </c>
      <c r="AD10" t="str">
        <f t="shared" ref="AD10" si="0">AA10&amp;AB10</f>
        <v>32</v>
      </c>
    </row>
    <row r="11" spans="1:30" ht="69" customHeight="1" thickBot="1" x14ac:dyDescent="0.3">
      <c r="A11" s="54" t="s">
        <v>179</v>
      </c>
      <c r="B11" s="59" t="s">
        <v>180</v>
      </c>
      <c r="C11" s="59" t="s">
        <v>181</v>
      </c>
      <c r="D11" s="59" t="s">
        <v>187</v>
      </c>
      <c r="E11" s="59" t="s">
        <v>184</v>
      </c>
      <c r="F11" s="59" t="s">
        <v>75</v>
      </c>
      <c r="G11" s="59" t="s">
        <v>75</v>
      </c>
      <c r="H11" s="59" t="s">
        <v>75</v>
      </c>
      <c r="I11" s="59" t="s">
        <v>75</v>
      </c>
      <c r="J11" s="59" t="s">
        <v>75</v>
      </c>
      <c r="K11" s="59" t="s">
        <v>75</v>
      </c>
      <c r="L11" s="59" t="s">
        <v>183</v>
      </c>
      <c r="M11" s="59" t="s">
        <v>182</v>
      </c>
      <c r="N11" s="60" t="s">
        <v>136</v>
      </c>
      <c r="O11" s="60" t="s">
        <v>94</v>
      </c>
      <c r="P11" s="61" t="str">
        <f>IF(AND(AA11=1,AB11=1),"Irrelevante",IF(AND(AA11=3,AB11=1),"Baixo",IF(AND(AA11=1,AB11=2),"Baixo",IF(AND(AA11=1,AB11=3),"Baixo",IF(AND(AA11=2,AB11=2),"Baixo",IF(AND(AA11=4,AB11=2),"Alto",IF(AND(AA11=3,AB11=3),"Alto",IF(AND(AA11=3,AB11=4),"Alto",IF(AND(AA11=2,AB11=4),"Alto",IF(AND(AA11=4,AB11=4),"Crítico",IF(AND(AA11=4,AB11=3),"Alto",IF(AND(AA11=3,AB11=2),"Médio",IF(AND(AA11=1,AB11=4),"Médio",IF(AND(AA11=4,AB11=1),"Médio",IF(AND(AA11=2,AB11=3),"Médio",IF(AND(AA11=2,AB11=1),"Baixo",""))))))))))))))))</f>
        <v>Médio</v>
      </c>
      <c r="Q11" s="60">
        <v>2</v>
      </c>
      <c r="R11" s="62" t="str">
        <f>IF(AND(P11="Irrelevante",Q11=0),"Nenhuma ação é necessária",IF(AND(P11="Irrelevante",Q11=1),"Nenhuma informação adicional é necessária.",IF(AND(P11="Irrelevante",Q11=2),"Nenhuma informação adicional é necessária.",IF(AND(P11="Médio",Q11=0),"Manter o controle existente. (P1) Controle adicional necessário se for possível e viável. (P2)",IF(AND(P11="Médio",Q11=2),"Informação adicional necessária (P1) antes de se decidir se há necessidade de controle adicional.",IF(AND(P11="Alto",Q11=0),"Controle necessário (P1)",IF(AND(P11="Alto",Q11=1),"Controle necessário (P1) Informação adicional necessária (P2)",IF(AND(P11="Alto",Q11=2),"Controle necessário (P1) Informação adicional necessária (P1)",IF(AND(P11="Crítico",Q11=0),"Controle necessário (P1)",IF(AND(P11="Crítico",Q11=2),"Controle necessário (P1) Informação adicional necessária (P1)",IF(AND(P11="Baixo",Q11=1),"Informação adicional necessária (P2)",IF(AND(P11="Baixo",Q11=2),"Informação adicional necessária (P1)",IF(AND(P11="Crítico",Q11=1),"Controle necessário (P1) Informação adicional necessária (P1)",IF(AND(P11="Médio",Q11=1),"Informação adicional necessária (P2) antes de se decidir se há necessidade de controle adicional.",IF(AND(P11="Baixo",Q11=0),"Nenhum controle adicional é necessário. Manter o controle existente. (P1)","")))))))))))))))</f>
        <v>Informação adicional necessária (P1) antes de se decidir se há necessidade de controle adicional.</v>
      </c>
      <c r="S11" s="62" t="str">
        <f>IFERROR(VLOOKUP(AD11,MATRIZ!A:E,5,0),"")</f>
        <v>Anual (P2)</v>
      </c>
      <c r="AA11">
        <f>IFERROR(VLOOKUP(N11,MATRIZ!H:I,2,0),"")</f>
        <v>3</v>
      </c>
      <c r="AB11">
        <f>IFERROR(VLOOKUP(O11,MATRIZ!K:L,2,0),"")</f>
        <v>2</v>
      </c>
      <c r="AD11" t="str">
        <f t="shared" ref="AD11:AD103" si="1">AA11&amp;AB11</f>
        <v>32</v>
      </c>
    </row>
    <row r="12" spans="1:30" ht="13.5" customHeight="1" thickBot="1" x14ac:dyDescent="0.3">
      <c r="A12" s="86" t="s">
        <v>248</v>
      </c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8"/>
    </row>
    <row r="13" spans="1:30" ht="9.9499999999999993" customHeight="1" thickBot="1" x14ac:dyDescent="0.3">
      <c r="A13" s="117"/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</row>
    <row r="14" spans="1:30" ht="15" customHeight="1" thickBot="1" x14ac:dyDescent="0.3">
      <c r="A14" s="56" t="s">
        <v>76</v>
      </c>
      <c r="B14" s="103" t="s">
        <v>83</v>
      </c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4"/>
    </row>
    <row r="15" spans="1:30" ht="12.75" customHeight="1" thickBot="1" x14ac:dyDescent="0.3">
      <c r="A15" s="57" t="s">
        <v>78</v>
      </c>
      <c r="B15" s="105" t="s">
        <v>189</v>
      </c>
      <c r="C15" s="106"/>
      <c r="D15" s="106"/>
      <c r="E15" s="106"/>
      <c r="F15" s="106"/>
      <c r="G15" s="106"/>
      <c r="H15" s="106"/>
      <c r="I15" s="107"/>
      <c r="J15" s="108" t="s">
        <v>79</v>
      </c>
      <c r="K15" s="109"/>
      <c r="L15" s="109"/>
      <c r="M15" s="105">
        <v>2</v>
      </c>
      <c r="N15" s="106"/>
      <c r="O15" s="107"/>
      <c r="P15" s="58" t="s">
        <v>80</v>
      </c>
      <c r="Q15" s="106" t="s">
        <v>81</v>
      </c>
      <c r="R15" s="109"/>
      <c r="S15" s="110"/>
    </row>
    <row r="16" spans="1:30" ht="12.75" customHeight="1" thickBot="1" x14ac:dyDescent="0.3">
      <c r="A16" s="111" t="s">
        <v>24</v>
      </c>
      <c r="B16" s="112"/>
      <c r="C16" s="112"/>
      <c r="D16" s="112"/>
      <c r="E16" s="113"/>
      <c r="F16" s="111" t="s">
        <v>170</v>
      </c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3"/>
    </row>
    <row r="17" spans="1:30" ht="45" customHeight="1" thickBot="1" x14ac:dyDescent="0.3">
      <c r="A17" s="114" t="s">
        <v>191</v>
      </c>
      <c r="B17" s="115"/>
      <c r="C17" s="115"/>
      <c r="D17" s="115"/>
      <c r="E17" s="116"/>
      <c r="F17" s="92" t="s">
        <v>190</v>
      </c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4"/>
    </row>
    <row r="18" spans="1:30" ht="25.5" customHeight="1" thickBot="1" x14ac:dyDescent="0.3">
      <c r="A18" s="95" t="s">
        <v>23</v>
      </c>
      <c r="B18" s="95" t="s">
        <v>22</v>
      </c>
      <c r="C18" s="95" t="s">
        <v>21</v>
      </c>
      <c r="D18" s="95" t="s">
        <v>20</v>
      </c>
      <c r="E18" s="95" t="s">
        <v>19</v>
      </c>
      <c r="F18" s="98" t="s">
        <v>18</v>
      </c>
      <c r="G18" s="99"/>
      <c r="H18" s="99"/>
      <c r="I18" s="99"/>
      <c r="J18" s="99"/>
      <c r="K18" s="100"/>
      <c r="L18" s="98" t="s">
        <v>17</v>
      </c>
      <c r="M18" s="100"/>
      <c r="N18" s="98" t="s">
        <v>16</v>
      </c>
      <c r="O18" s="99"/>
      <c r="P18" s="99"/>
      <c r="Q18" s="100"/>
      <c r="R18" s="95" t="s">
        <v>15</v>
      </c>
      <c r="S18" s="95" t="s">
        <v>14</v>
      </c>
    </row>
    <row r="19" spans="1:30" ht="18" customHeight="1" x14ac:dyDescent="0.25">
      <c r="A19" s="96"/>
      <c r="B19" s="96"/>
      <c r="C19" s="96"/>
      <c r="D19" s="96"/>
      <c r="E19" s="96"/>
      <c r="F19" s="95" t="s">
        <v>13</v>
      </c>
      <c r="G19" s="25" t="s">
        <v>10</v>
      </c>
      <c r="H19" s="95" t="s">
        <v>12</v>
      </c>
      <c r="I19" s="95" t="s">
        <v>11</v>
      </c>
      <c r="J19" s="95" t="s">
        <v>95</v>
      </c>
      <c r="K19" s="25" t="s">
        <v>10</v>
      </c>
      <c r="L19" s="95" t="s">
        <v>9</v>
      </c>
      <c r="M19" s="95" t="s">
        <v>8</v>
      </c>
      <c r="N19" s="95" t="s">
        <v>7</v>
      </c>
      <c r="O19" s="95" t="s">
        <v>6</v>
      </c>
      <c r="P19" s="101" t="s">
        <v>5</v>
      </c>
      <c r="Q19" s="95" t="s">
        <v>4</v>
      </c>
      <c r="R19" s="96"/>
      <c r="S19" s="96"/>
    </row>
    <row r="20" spans="1:30" ht="21" customHeight="1" thickBot="1" x14ac:dyDescent="0.3">
      <c r="A20" s="97"/>
      <c r="B20" s="97"/>
      <c r="C20" s="97"/>
      <c r="D20" s="97"/>
      <c r="E20" s="97"/>
      <c r="F20" s="97"/>
      <c r="G20" s="35" t="s">
        <v>3</v>
      </c>
      <c r="H20" s="97"/>
      <c r="I20" s="97"/>
      <c r="J20" s="97"/>
      <c r="K20" s="35" t="s">
        <v>3</v>
      </c>
      <c r="L20" s="97"/>
      <c r="M20" s="97"/>
      <c r="N20" s="97"/>
      <c r="O20" s="97"/>
      <c r="P20" s="102"/>
      <c r="Q20" s="97"/>
      <c r="R20" s="97"/>
      <c r="S20" s="97"/>
    </row>
    <row r="21" spans="1:30" ht="54.95" customHeight="1" thickBot="1" x14ac:dyDescent="0.3">
      <c r="A21" s="41" t="s">
        <v>74</v>
      </c>
      <c r="B21" s="42" t="s">
        <v>84</v>
      </c>
      <c r="C21" s="42" t="s">
        <v>85</v>
      </c>
      <c r="D21" s="42" t="s">
        <v>86</v>
      </c>
      <c r="E21" s="41" t="s">
        <v>192</v>
      </c>
      <c r="F21" s="41" t="s">
        <v>75</v>
      </c>
      <c r="G21" s="122" t="s">
        <v>75</v>
      </c>
      <c r="H21" s="42" t="s">
        <v>87</v>
      </c>
      <c r="I21" s="42">
        <v>11512</v>
      </c>
      <c r="J21" s="42" t="s">
        <v>88</v>
      </c>
      <c r="K21" s="42" t="s">
        <v>1</v>
      </c>
      <c r="L21" s="42" t="s">
        <v>89</v>
      </c>
      <c r="M21" s="42" t="s">
        <v>90</v>
      </c>
      <c r="N21" s="38" t="s">
        <v>0</v>
      </c>
      <c r="O21" s="38" t="s">
        <v>73</v>
      </c>
      <c r="P21" s="39" t="str">
        <f>IF(AND(AA21=1,AB21=1),"Irrelevante",IF(AND(AA21=3,AB21=1),"Baixo",IF(AND(AA21=1,AB21=2),"Baixo",IF(AND(AA21=1,AB21=3),"Baixo",IF(AND(AA21=2,AB21=2),"Baixo",IF(AND(AA21=4,AB21=2),"Alto",IF(AND(AA21=3,AB21=3),"Alto",IF(AND(AA21=3,AB21=4),"Alto",IF(AND(AA21=2,AB21=4),"Alto",IF(AND(AA21=4,AB21=4),"Crítico",IF(AND(AA21=4,AB21=3),"Alto",IF(AND(AA21=3,AB21=2),"Médio",IF(AND(AA21=1,AB21=4),"Médio",IF(AND(AA21=4,AB21=1),"Médio",IF(AND(AA21=2,AB21=3),"Médio",IF(AND(AA21=2,AB21=1),"Baixo",""))))))))))))))))</f>
        <v>Baixo</v>
      </c>
      <c r="Q21" s="38">
        <v>0</v>
      </c>
      <c r="R21" s="38" t="str">
        <f>IF(AND(P21="Irrelevante",Q21=0),"Nenhuma ação é necessária",IF(AND(P21="Irrelevante",Q21=1),"Nenhuma informação adicional é necessária.",IF(AND(P21="Irrelevante",Q21=2),"Nenhuma informação adicional é necessária.",IF(AND(P21="Médio",Q21=0),"Manter o controle existente. (P1) Controle adicional necessário se for possível e viável. (P2)",IF(AND(P21="Médio",Q21=2),"Informação adicional necessária (P1) antes de se decidir se há necessidade de controle adicional.",IF(AND(P21="Alto",Q21=0),"Controle necessário (P1)",IF(AND(P21="Alto",Q21=1),"Controle necessário (P1) Informação adicional necessária (P2)",IF(AND(P21="Alto",Q21=2),"Controle necessário (P1) Informação adicional necessária (P1)",IF(AND(P21="Crítico",Q21=0),"Controle necessário (P1)",IF(AND(P21="Crítico",Q21=2),"Controle necessário (P1) Informação adicional necessária (P1)",IF(AND(P21="Baixo",Q21=1),"Informação adicional necessária (P2)",IF(AND(P21="Baixo",Q21=2),"Informação adicional necessária (P1)",IF(AND(P21="Crítico",Q21=1),"Controle necessário (P1) Informação adicional necessária (P1)",IF(AND(P21="Médio",Q21=1),"Informação adicional necessária (P2) antes de se decidir se há necessidade de controle adicional.",IF(AND(P21="Baixo",Q21=0),"Nenhum controle adicional é necessário. Manter o controle existente. (P1)","")))))))))))))))</f>
        <v>Nenhum controle adicional é necessário. Manter o controle existente. (P1)</v>
      </c>
      <c r="S21" s="38" t="str">
        <f>IFERROR(VLOOKUP(AD21,MATRIZ!A:E,5,0),"")</f>
        <v>Monitoramento periódico não necessário.</v>
      </c>
      <c r="AA21">
        <f>IFERROR(VLOOKUP(N21,MATRIZ!H:I,2,0),"")</f>
        <v>2</v>
      </c>
      <c r="AB21">
        <f>IFERROR(VLOOKUP(O21,MATRIZ!K:L,2,0),"")</f>
        <v>1</v>
      </c>
      <c r="AD21" t="str">
        <f>AA21&amp;AB21</f>
        <v>21</v>
      </c>
    </row>
    <row r="22" spans="1:30" ht="60.75" customHeight="1" thickBot="1" x14ac:dyDescent="0.3">
      <c r="A22" s="54" t="s">
        <v>179</v>
      </c>
      <c r="B22" s="59" t="s">
        <v>180</v>
      </c>
      <c r="C22" s="59" t="s">
        <v>181</v>
      </c>
      <c r="D22" s="59" t="s">
        <v>187</v>
      </c>
      <c r="E22" s="59" t="s">
        <v>227</v>
      </c>
      <c r="F22" s="3" t="s">
        <v>75</v>
      </c>
      <c r="G22" s="123"/>
      <c r="H22" s="59" t="s">
        <v>75</v>
      </c>
      <c r="I22" s="59" t="s">
        <v>75</v>
      </c>
      <c r="J22" s="59" t="s">
        <v>75</v>
      </c>
      <c r="K22" s="59" t="s">
        <v>75</v>
      </c>
      <c r="L22" s="59" t="s">
        <v>183</v>
      </c>
      <c r="M22" s="59" t="s">
        <v>182</v>
      </c>
      <c r="N22" s="41" t="s">
        <v>136</v>
      </c>
      <c r="O22" s="41" t="s">
        <v>73</v>
      </c>
      <c r="P22" s="61" t="str">
        <f>IF(AND(AA22=1,AB22=1),"Irrelevante",IF(AND(AA22=3,AB22=1),"Baixo",IF(AND(AA22=1,AB22=2),"Baixo",IF(AND(AA22=1,AB22=3),"Baixo",IF(AND(AA22=2,AB22=2),"Baixo",IF(AND(AA22=4,AB22=2),"Alto",IF(AND(AA22=3,AB22=3),"Alto",IF(AND(AA22=3,AB22=4),"Alto",IF(AND(AA22=2,AB22=4),"Alto",IF(AND(AA22=4,AB22=4),"Crítico",IF(AND(AA22=4,AB22=3),"Alto",IF(AND(AA22=3,AB22=2),"Médio",IF(AND(AA22=1,AB22=4),"Médio",IF(AND(AA22=4,AB22=1),"Médio",IF(AND(AA22=2,AB22=3),"Médio",IF(AND(AA22=2,AB22=1),"Baixo",""))))))))))))))))</f>
        <v>Baixo</v>
      </c>
      <c r="Q22" s="41">
        <v>1</v>
      </c>
      <c r="R22" s="62" t="str">
        <f>IF(AND(P22="Irrelevante",Q22=0),"Nenhuma ação é necessária",IF(AND(P22="Irrelevante",Q22=1),"Nenhuma informação adicional é necessária.",IF(AND(P22="Irrelevante",Q22=2),"Nenhuma informação adicional é necessária.",IF(AND(P22="Médio",Q22=0),"Manter o controle existente. (P1) Controle adicional necessário se for possível e viável. (P2)",IF(AND(P22="Médio",Q22=2),"Informação adicional necessária (P1) antes de se decidir se há necessidade de controle adicional.",IF(AND(P22="Alto",Q22=0),"Controle necessário (P1)",IF(AND(P22="Alto",Q22=1),"Controle necessário (P1) Informação adicional necessária (P2)",IF(AND(P22="Alto",Q22=2),"Controle necessário (P1) Informação adicional necessária (P1)",IF(AND(P22="Crítico",Q22=0),"Controle necessário (P1)",IF(AND(P22="Crítico",Q22=2),"Controle necessário (P1) Informação adicional necessária (P1)",IF(AND(P22="Baixo",Q22=1),"Informação adicional necessária (P2)",IF(AND(P22="Baixo",Q22=2),"Informação adicional necessária (P1)",IF(AND(P22="Crítico",Q22=1),"Controle necessário (P1) Informação adicional necessária (P1)",IF(AND(P22="Médio",Q22=1),"Informação adicional necessária (P2) antes de se decidir se há necessidade de controle adicional.",IF(AND(P22="Baixo",Q22=0),"Nenhum controle adicional é necessário. Manter o controle existente. (P1)","")))))))))))))))</f>
        <v>Informação adicional necessária (P2)</v>
      </c>
      <c r="S22" s="62" t="str">
        <f>IFERROR(VLOOKUP(AD22,MATRIZ!A:E,5,0),"")</f>
        <v>Anual (P2)</v>
      </c>
      <c r="AA22">
        <f>IFERROR(VLOOKUP(N22,MATRIZ!H:I,2,0),"")</f>
        <v>3</v>
      </c>
      <c r="AB22">
        <f>IFERROR(VLOOKUP(O22,MATRIZ!K:L,2,0),"")</f>
        <v>1</v>
      </c>
      <c r="AD22" t="str">
        <f t="shared" ref="AD22:AD23" si="2">AA22&amp;AB22</f>
        <v>31</v>
      </c>
    </row>
    <row r="23" spans="1:30" ht="67.5" customHeight="1" thickBot="1" x14ac:dyDescent="0.3">
      <c r="A23" s="54" t="s">
        <v>149</v>
      </c>
      <c r="B23" s="59" t="s">
        <v>185</v>
      </c>
      <c r="C23" s="59" t="s">
        <v>186</v>
      </c>
      <c r="D23" s="59" t="s">
        <v>75</v>
      </c>
      <c r="E23" s="3" t="s">
        <v>228</v>
      </c>
      <c r="F23" s="3" t="s">
        <v>188</v>
      </c>
      <c r="G23" s="123"/>
      <c r="H23" s="59" t="s">
        <v>75</v>
      </c>
      <c r="I23" s="59" t="s">
        <v>75</v>
      </c>
      <c r="J23" s="59" t="s">
        <v>75</v>
      </c>
      <c r="K23" s="59" t="s">
        <v>75</v>
      </c>
      <c r="L23" s="59" t="s">
        <v>183</v>
      </c>
      <c r="M23" s="59" t="s">
        <v>182</v>
      </c>
      <c r="N23" s="41" t="s">
        <v>136</v>
      </c>
      <c r="O23" s="41" t="s">
        <v>94</v>
      </c>
      <c r="P23" s="74" t="str">
        <f>IF(AND(AA23=1,AB23=1),"Irrelevante",IF(AND(AA23=3,AB23=1),"Baixo",IF(AND(AA23=1,AB23=2),"Baixo",IF(AND(AA23=1,AB23=3),"Baixo",IF(AND(AA23=2,AB23=2),"Baixo",IF(AND(AA23=4,AB23=2),"Alto",IF(AND(AA23=3,AB23=3),"Alto",IF(AND(AA23=3,AB23=4),"Alto",IF(AND(AA23=2,AB23=4),"Alto",IF(AND(AA23=4,AB23=4),"Crítico",IF(AND(AA23=4,AB23=3),"Alto",IF(AND(AA23=3,AB23=2),"Médio",IF(AND(AA23=1,AB23=4),"Médio",IF(AND(AA23=4,AB23=1),"Médio",IF(AND(AA23=2,AB23=3),"Médio",IF(AND(AA23=2,AB23=1),"Baixo",""))))))))))))))))</f>
        <v>Médio</v>
      </c>
      <c r="Q23" s="41">
        <v>1</v>
      </c>
      <c r="R23" s="75" t="str">
        <f>IF(AND(P23="Irrelevante",Q23=0),"Nenhuma ação é necessária",IF(AND(P23="Irrelevante",Q23=1),"Nenhuma informação adicional é necessária.",IF(AND(P23="Irrelevante",Q23=2),"Nenhuma informação adicional é necessária.",IF(AND(P23="Médio",Q23=0),"Manter o controle existente. (P1) Controle adicional necessário se for possível e viável. (P2)",IF(AND(P23="Médio",Q23=2),"Informação adicional necessária (P1) antes de se decidir se há necessidade de controle adicional.",IF(AND(P23="Alto",Q23=0),"Controle necessário (P1)",IF(AND(P23="Alto",Q23=1),"Controle necessário (P1) Informação adicional necessária (P2)",IF(AND(P23="Alto",Q23=2),"Controle necessário (P1) Informação adicional necessária (P1)",IF(AND(P23="Crítico",Q23=0),"Controle necessário (P1)",IF(AND(P23="Crítico",Q23=2),"Controle necessário (P1) Informação adicional necessária (P1)",IF(AND(P23="Baixo",Q23=1),"Informação adicional necessária (P2)",IF(AND(P23="Baixo",Q23=2),"Informação adicional necessária (P1)",IF(AND(P23="Crítico",Q23=1),"Controle necessário (P1) Informação adicional necessária (P1)",IF(AND(P23="Médio",Q23=1),"Informação adicional necessária (P2) antes de se decidir se há necessidade de controle adicional.",IF(AND(P23="Baixo",Q23=0),"Nenhum controle adicional é necessário. Manter o controle existente. (P1)","")))))))))))))))</f>
        <v>Informação adicional necessária (P2) antes de se decidir se há necessidade de controle adicional.</v>
      </c>
      <c r="S23" s="75" t="str">
        <f>IFERROR(VLOOKUP(AD23,MATRIZ!A:E,5,0),"")</f>
        <v>Anual (P2)</v>
      </c>
      <c r="AA23">
        <f>IFERROR(VLOOKUP(N23,MATRIZ!H:I,2,0),"")</f>
        <v>3</v>
      </c>
      <c r="AB23">
        <f>IFERROR(VLOOKUP(O23,MATRIZ!K:L,2,0),"")</f>
        <v>2</v>
      </c>
      <c r="AD23" t="str">
        <f t="shared" si="2"/>
        <v>32</v>
      </c>
    </row>
    <row r="24" spans="1:30" ht="93" customHeight="1" thickBot="1" x14ac:dyDescent="0.3">
      <c r="A24" s="41" t="s">
        <v>91</v>
      </c>
      <c r="B24" s="41" t="s">
        <v>92</v>
      </c>
      <c r="C24" s="41" t="s">
        <v>194</v>
      </c>
      <c r="D24" s="41" t="s">
        <v>193</v>
      </c>
      <c r="E24" s="53" t="s">
        <v>249</v>
      </c>
      <c r="F24" s="53" t="s">
        <v>75</v>
      </c>
      <c r="G24" s="124"/>
      <c r="H24" s="41" t="s">
        <v>195</v>
      </c>
      <c r="I24" s="41">
        <v>36670</v>
      </c>
      <c r="J24" s="41" t="s">
        <v>75</v>
      </c>
      <c r="K24" s="41" t="s">
        <v>1</v>
      </c>
      <c r="L24" s="41" t="s">
        <v>75</v>
      </c>
      <c r="M24" s="41" t="s">
        <v>93</v>
      </c>
      <c r="N24" s="36" t="s">
        <v>136</v>
      </c>
      <c r="O24" s="36" t="s">
        <v>94</v>
      </c>
      <c r="P24" s="37" t="str">
        <f t="shared" ref="P24:P103" si="3">IF(AND(AA24=1,AB24=1),"Irrelevante",IF(AND(AA24=3,AB24=1),"Baixo",IF(AND(AA24=1,AB24=2),"Baixo",IF(AND(AA24=1,AB24=3),"Baixo",IF(AND(AA24=2,AB24=2),"Baixo",IF(AND(AA24=4,AB24=2),"Alto",IF(AND(AA24=3,AB24=3),"Alto",IF(AND(AA24=3,AB24=4),"Alto",IF(AND(AA24=2,AB24=4),"Alto",IF(AND(AA24=4,AB24=4),"Crítico",IF(AND(AA24=4,AB24=3),"Alto",IF(AND(AA24=3,AB24=2),"Médio",IF(AND(AA24=1,AB24=4),"Médio",IF(AND(AA24=4,AB24=1),"Médio",IF(AND(AA24=2,AB24=3),"Médio",IF(AND(AA24=2,AB24=1),"Baixo",""))))))))))))))))</f>
        <v>Médio</v>
      </c>
      <c r="Q24" s="36">
        <v>1</v>
      </c>
      <c r="R24" s="36" t="str">
        <f t="shared" ref="R24:R103" si="4">IF(AND(P24="Irrelevante",Q24=0),"Nenhuma ação é necessária",IF(AND(P24="Irrelevante",Q24=1),"Nenhuma informação adicional é necessária.",IF(AND(P24="Irrelevante",Q24=2),"Nenhuma informação adicional é necessária.",IF(AND(P24="Médio",Q24=0),"Manter o controle existente. (P1) Controle adicional necessário se for possível e viável. (P2)",IF(AND(P24="Médio",Q24=2),"Informação adicional necessária (P1) antes de se decidir se há necessidade de controle adicional.",IF(AND(P24="Alto",Q24=0),"Controle necessário (P1)",IF(AND(P24="Alto",Q24=1),"Controle necessário (P1) Informação adicional necessária (P2)",IF(AND(P24="Alto",Q24=2),"Controle necessário (P1) Informação adicional necessária (P1)",IF(AND(P24="Crítico",Q24=0),"Controle necessário (P1)",IF(AND(P24="Crítico",Q24=2),"Controle necessário (P1) Informação adicional necessária (P1)",IF(AND(P24="Baixo",Q24=1),"Informação adicional necessária (P2)",IF(AND(P24="Baixo",Q24=2),"Informação adicional necessária (P1)",IF(AND(P24="Crítico",Q24=1),"Controle necessário (P1) Informação adicional necessária (P1)",IF(AND(P24="Médio",Q24=1),"Informação adicional necessária (P2) antes de se decidir se há necessidade de controle adicional.",IF(AND(P24="Baixo",Q24=0),"Nenhum controle adicional é necessário. Manter o controle existente. (P1)","")))))))))))))))</f>
        <v>Informação adicional necessária (P2) antes de se decidir se há necessidade de controle adicional.</v>
      </c>
      <c r="S24" s="36" t="str">
        <f>IFERROR(VLOOKUP(AD24,MATRIZ!A:E,5,0),"")</f>
        <v>Anual (P2)</v>
      </c>
      <c r="AA24">
        <f>IFERROR(VLOOKUP(N24,MATRIZ!H:I,2,0),"")</f>
        <v>3</v>
      </c>
      <c r="AB24">
        <f>IFERROR(VLOOKUP(O24,MATRIZ!K:L,2,0),"")</f>
        <v>2</v>
      </c>
      <c r="AD24" t="str">
        <f t="shared" si="1"/>
        <v>32</v>
      </c>
    </row>
    <row r="25" spans="1:30" ht="13.5" customHeight="1" thickBot="1" x14ac:dyDescent="0.3">
      <c r="A25" s="86" t="s">
        <v>196</v>
      </c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8"/>
    </row>
    <row r="26" spans="1:30" s="40" customFormat="1" ht="9.75" customHeight="1" thickBot="1" x14ac:dyDescent="0.3">
      <c r="A26" s="117"/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1:30" ht="15" customHeight="1" thickBot="1" x14ac:dyDescent="0.3">
      <c r="A27" s="56" t="s">
        <v>76</v>
      </c>
      <c r="B27" s="103" t="s">
        <v>96</v>
      </c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4"/>
    </row>
    <row r="28" spans="1:30" ht="12.75" customHeight="1" thickBot="1" x14ac:dyDescent="0.3">
      <c r="A28" s="57" t="s">
        <v>78</v>
      </c>
      <c r="B28" s="105" t="s">
        <v>197</v>
      </c>
      <c r="C28" s="106"/>
      <c r="D28" s="106"/>
      <c r="E28" s="106"/>
      <c r="F28" s="106"/>
      <c r="G28" s="106"/>
      <c r="H28" s="106"/>
      <c r="I28" s="107"/>
      <c r="J28" s="108" t="s">
        <v>79</v>
      </c>
      <c r="K28" s="109"/>
      <c r="L28" s="109"/>
      <c r="M28" s="105">
        <v>2</v>
      </c>
      <c r="N28" s="106"/>
      <c r="O28" s="107"/>
      <c r="P28" s="58" t="s">
        <v>80</v>
      </c>
      <c r="Q28" s="106" t="s">
        <v>81</v>
      </c>
      <c r="R28" s="109"/>
      <c r="S28" s="110"/>
    </row>
    <row r="29" spans="1:30" ht="12.75" customHeight="1" thickBot="1" x14ac:dyDescent="0.3">
      <c r="A29" s="111" t="s">
        <v>24</v>
      </c>
      <c r="B29" s="112"/>
      <c r="C29" s="112"/>
      <c r="D29" s="112"/>
      <c r="E29" s="113"/>
      <c r="F29" s="111" t="s">
        <v>170</v>
      </c>
      <c r="G29" s="112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3"/>
    </row>
    <row r="30" spans="1:30" ht="45" customHeight="1" thickBot="1" x14ac:dyDescent="0.3">
      <c r="A30" s="114" t="s">
        <v>198</v>
      </c>
      <c r="B30" s="115"/>
      <c r="C30" s="115"/>
      <c r="D30" s="115"/>
      <c r="E30" s="116"/>
      <c r="F30" s="92" t="s">
        <v>171</v>
      </c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4"/>
    </row>
    <row r="31" spans="1:30" ht="25.5" customHeight="1" thickBot="1" x14ac:dyDescent="0.3">
      <c r="A31" s="95" t="s">
        <v>23</v>
      </c>
      <c r="B31" s="95" t="s">
        <v>22</v>
      </c>
      <c r="C31" s="95" t="s">
        <v>21</v>
      </c>
      <c r="D31" s="95" t="s">
        <v>20</v>
      </c>
      <c r="E31" s="95" t="s">
        <v>19</v>
      </c>
      <c r="F31" s="98" t="s">
        <v>18</v>
      </c>
      <c r="G31" s="99"/>
      <c r="H31" s="99"/>
      <c r="I31" s="99"/>
      <c r="J31" s="99"/>
      <c r="K31" s="100"/>
      <c r="L31" s="98" t="s">
        <v>17</v>
      </c>
      <c r="M31" s="100"/>
      <c r="N31" s="98" t="s">
        <v>16</v>
      </c>
      <c r="O31" s="99"/>
      <c r="P31" s="99"/>
      <c r="Q31" s="100"/>
      <c r="R31" s="95" t="s">
        <v>15</v>
      </c>
      <c r="S31" s="95" t="s">
        <v>14</v>
      </c>
    </row>
    <row r="32" spans="1:30" ht="18" customHeight="1" x14ac:dyDescent="0.25">
      <c r="A32" s="96"/>
      <c r="B32" s="96"/>
      <c r="C32" s="96"/>
      <c r="D32" s="96"/>
      <c r="E32" s="96"/>
      <c r="F32" s="95" t="s">
        <v>13</v>
      </c>
      <c r="G32" s="25" t="s">
        <v>10</v>
      </c>
      <c r="H32" s="95" t="s">
        <v>12</v>
      </c>
      <c r="I32" s="95" t="s">
        <v>11</v>
      </c>
      <c r="J32" s="95" t="s">
        <v>95</v>
      </c>
      <c r="K32" s="25" t="s">
        <v>10</v>
      </c>
      <c r="L32" s="95" t="s">
        <v>9</v>
      </c>
      <c r="M32" s="95" t="s">
        <v>8</v>
      </c>
      <c r="N32" s="95" t="s">
        <v>7</v>
      </c>
      <c r="O32" s="95" t="s">
        <v>6</v>
      </c>
      <c r="P32" s="101" t="s">
        <v>5</v>
      </c>
      <c r="Q32" s="95" t="s">
        <v>4</v>
      </c>
      <c r="R32" s="96"/>
      <c r="S32" s="96"/>
    </row>
    <row r="33" spans="1:30" ht="21" customHeight="1" thickBot="1" x14ac:dyDescent="0.3">
      <c r="A33" s="97"/>
      <c r="B33" s="97"/>
      <c r="C33" s="97"/>
      <c r="D33" s="97"/>
      <c r="E33" s="97"/>
      <c r="F33" s="97"/>
      <c r="G33" s="35" t="s">
        <v>3</v>
      </c>
      <c r="H33" s="97"/>
      <c r="I33" s="97"/>
      <c r="J33" s="97"/>
      <c r="K33" s="35" t="s">
        <v>3</v>
      </c>
      <c r="L33" s="97"/>
      <c r="M33" s="97"/>
      <c r="N33" s="97"/>
      <c r="O33" s="97"/>
      <c r="P33" s="102"/>
      <c r="Q33" s="97"/>
      <c r="R33" s="97"/>
      <c r="S33" s="97"/>
    </row>
    <row r="34" spans="1:30" ht="54.95" customHeight="1" thickBot="1" x14ac:dyDescent="0.3">
      <c r="A34" s="4" t="s">
        <v>74</v>
      </c>
      <c r="B34" s="4" t="s">
        <v>84</v>
      </c>
      <c r="C34" s="4" t="s">
        <v>85</v>
      </c>
      <c r="D34" s="4" t="s">
        <v>199</v>
      </c>
      <c r="E34" s="4" t="s">
        <v>100</v>
      </c>
      <c r="F34" s="4" t="s">
        <v>75</v>
      </c>
      <c r="G34" s="4" t="s">
        <v>75</v>
      </c>
      <c r="H34" s="4" t="s">
        <v>97</v>
      </c>
      <c r="I34" s="4">
        <v>11512</v>
      </c>
      <c r="J34" s="4" t="s">
        <v>101</v>
      </c>
      <c r="K34" s="4" t="s">
        <v>1</v>
      </c>
      <c r="L34" s="3" t="s">
        <v>102</v>
      </c>
      <c r="M34" s="4" t="s">
        <v>90</v>
      </c>
      <c r="N34" s="36" t="s">
        <v>0</v>
      </c>
      <c r="O34" s="36" t="s">
        <v>73</v>
      </c>
      <c r="P34" s="37" t="str">
        <f t="shared" si="3"/>
        <v>Baixo</v>
      </c>
      <c r="Q34" s="36">
        <v>0</v>
      </c>
      <c r="R34" s="36" t="str">
        <f t="shared" si="4"/>
        <v>Nenhum controle adicional é necessário. Manter o controle existente. (P1)</v>
      </c>
      <c r="S34" s="36" t="str">
        <f>IFERROR(VLOOKUP(AD34,MATRIZ!A:E,5,0),"")</f>
        <v>Monitoramento periódico não necessário.</v>
      </c>
      <c r="AA34">
        <f>IFERROR(VLOOKUP(N34,MATRIZ!H:I,2,0),"")</f>
        <v>2</v>
      </c>
      <c r="AB34">
        <f>IFERROR(VLOOKUP(O34,MATRIZ!K:L,2,0),"")</f>
        <v>1</v>
      </c>
      <c r="AD34" t="str">
        <f t="shared" si="1"/>
        <v>21</v>
      </c>
    </row>
    <row r="35" spans="1:30" ht="69.75" customHeight="1" thickBot="1" x14ac:dyDescent="0.3">
      <c r="A35" s="54" t="s">
        <v>179</v>
      </c>
      <c r="B35" s="59" t="s">
        <v>180</v>
      </c>
      <c r="C35" s="59" t="s">
        <v>181</v>
      </c>
      <c r="D35" s="59" t="s">
        <v>187</v>
      </c>
      <c r="E35" s="59" t="s">
        <v>184</v>
      </c>
      <c r="F35" s="59" t="s">
        <v>75</v>
      </c>
      <c r="G35" s="59" t="s">
        <v>75</v>
      </c>
      <c r="H35" s="59" t="s">
        <v>75</v>
      </c>
      <c r="I35" s="59" t="s">
        <v>75</v>
      </c>
      <c r="J35" s="59" t="s">
        <v>75</v>
      </c>
      <c r="K35" s="59" t="s">
        <v>75</v>
      </c>
      <c r="L35" s="59" t="s">
        <v>183</v>
      </c>
      <c r="M35" s="59" t="s">
        <v>182</v>
      </c>
      <c r="N35" s="60" t="s">
        <v>136</v>
      </c>
      <c r="O35" s="60" t="s">
        <v>94</v>
      </c>
      <c r="P35" s="61" t="str">
        <f>IF(AND(AA35=1,AB35=1),"Irrelevante",IF(AND(AA35=3,AB35=1),"Baixo",IF(AND(AA35=1,AB35=2),"Baixo",IF(AND(AA35=1,AB35=3),"Baixo",IF(AND(AA35=2,AB35=2),"Baixo",IF(AND(AA35=4,AB35=2),"Alto",IF(AND(AA35=3,AB35=3),"Alto",IF(AND(AA35=3,AB35=4),"Alto",IF(AND(AA35=2,AB35=4),"Alto",IF(AND(AA35=4,AB35=4),"Crítico",IF(AND(AA35=4,AB35=3),"Alto",IF(AND(AA35=3,AB35=2),"Médio",IF(AND(AA35=1,AB35=4),"Médio",IF(AND(AA35=4,AB35=1),"Médio",IF(AND(AA35=2,AB35=3),"Médio",IF(AND(AA35=2,AB35=1),"Baixo",""))))))))))))))))</f>
        <v>Médio</v>
      </c>
      <c r="Q35" s="60">
        <v>2</v>
      </c>
      <c r="R35" s="62" t="str">
        <f>IF(AND(P35="Irrelevante",Q35=0),"Nenhuma ação é necessária",IF(AND(P35="Irrelevante",Q35=1),"Nenhuma informação adicional é necessária.",IF(AND(P35="Irrelevante",Q35=2),"Nenhuma informação adicional é necessária.",IF(AND(P35="Médio",Q35=0),"Manter o controle existente. (P1) Controle adicional necessário se for possível e viável. (P2)",IF(AND(P35="Médio",Q35=2),"Informação adicional necessária (P1) antes de se decidir se há necessidade de controle adicional.",IF(AND(P35="Alto",Q35=0),"Controle necessário (P1)",IF(AND(P35="Alto",Q35=1),"Controle necessário (P1) Informação adicional necessária (P2)",IF(AND(P35="Alto",Q35=2),"Controle necessário (P1) Informação adicional necessária (P1)",IF(AND(P35="Crítico",Q35=0),"Controle necessário (P1)",IF(AND(P35="Crítico",Q35=2),"Controle necessário (P1) Informação adicional necessária (P1)",IF(AND(P35="Baixo",Q35=1),"Informação adicional necessária (P2)",IF(AND(P35="Baixo",Q35=2),"Informação adicional necessária (P1)",IF(AND(P35="Crítico",Q35=1),"Controle necessário (P1) Informação adicional necessária (P1)",IF(AND(P35="Médio",Q35=1),"Informação adicional necessária (P2) antes de se decidir se há necessidade de controle adicional.",IF(AND(P35="Baixo",Q35=0),"Nenhum controle adicional é necessário. Manter o controle existente. (P1)","")))))))))))))))</f>
        <v>Informação adicional necessária (P1) antes de se decidir se há necessidade de controle adicional.</v>
      </c>
      <c r="S35" s="62" t="str">
        <f>IFERROR(VLOOKUP(AD35,MATRIZ!A:E,5,0),"")</f>
        <v>Anual (P2)</v>
      </c>
      <c r="AA35">
        <f>IFERROR(VLOOKUP(N35,MATRIZ!H:I,2,0),"")</f>
        <v>3</v>
      </c>
      <c r="AB35">
        <f>IFERROR(VLOOKUP(O35,MATRIZ!K:L,2,0),"")</f>
        <v>2</v>
      </c>
      <c r="AD35" t="str">
        <f t="shared" ref="AD35:AD37" si="5">AA35&amp;AB35</f>
        <v>32</v>
      </c>
    </row>
    <row r="36" spans="1:30" ht="65.25" customHeight="1" thickBot="1" x14ac:dyDescent="0.3">
      <c r="A36" s="3" t="s">
        <v>149</v>
      </c>
      <c r="B36" s="59" t="s">
        <v>238</v>
      </c>
      <c r="C36" s="59" t="s">
        <v>240</v>
      </c>
      <c r="D36" s="59" t="s">
        <v>75</v>
      </c>
      <c r="E36" s="59" t="s">
        <v>239</v>
      </c>
      <c r="F36" s="59" t="s">
        <v>241</v>
      </c>
      <c r="G36" s="59" t="s">
        <v>75</v>
      </c>
      <c r="H36" s="59" t="s">
        <v>75</v>
      </c>
      <c r="I36" s="59" t="s">
        <v>75</v>
      </c>
      <c r="J36" s="59" t="s">
        <v>75</v>
      </c>
      <c r="K36" s="59" t="s">
        <v>75</v>
      </c>
      <c r="L36" s="59" t="s">
        <v>183</v>
      </c>
      <c r="M36" s="59" t="s">
        <v>182</v>
      </c>
      <c r="N36" s="41" t="s">
        <v>136</v>
      </c>
      <c r="O36" s="41" t="s">
        <v>242</v>
      </c>
      <c r="P36" s="74" t="str">
        <f>IF(AND(AA36=1,AB36=1),"Irrelevante",IF(AND(AA36=3,AB36=1),"Baixo",IF(AND(AA36=1,AB36=2),"Baixo",IF(AND(AA36=1,AB36=3),"Baixo",IF(AND(AA36=2,AB36=2),"Baixo",IF(AND(AA36=4,AB36=2),"Alto",IF(AND(AA36=3,AB36=3),"Alto",IF(AND(AA36=3,AB36=4),"Alto",IF(AND(AA36=2,AB36=4),"Alto",IF(AND(AA36=4,AB36=4),"Crítico",IF(AND(AA36=4,AB36=3),"Alto",IF(AND(AA36=3,AB36=2),"Médio",IF(AND(AA36=1,AB36=4),"Médio",IF(AND(AA36=4,AB36=1),"Médio",IF(AND(AA36=2,AB36=3),"Médio",IF(AND(AA36=2,AB36=1),"Baixo",""))))))))))))))))</f>
        <v>Alto</v>
      </c>
      <c r="Q36" s="41">
        <v>1</v>
      </c>
      <c r="R36" s="75" t="str">
        <f>IF(AND(P36="Irrelevante",Q36=0),"Nenhuma ação é necessária",IF(AND(P36="Irrelevante",Q36=1),"Nenhuma informação adicional é necessária.",IF(AND(P36="Irrelevante",Q36=2),"Nenhuma informação adicional é necessária.",IF(AND(P36="Médio",Q36=0),"Manter o controle existente. (P1) Controle adicional necessário se for possível e viável. (P2)",IF(AND(P36="Médio",Q36=2),"Informação adicional necessária (P1) antes de se decidir se há necessidade de controle adicional.",IF(AND(P36="Alto",Q36=0),"Controle necessário (P1)",IF(AND(P36="Alto",Q36=1),"Controle necessário (P1) Informação adicional necessária (P2)",IF(AND(P36="Alto",Q36=2),"Controle necessário (P1) Informação adicional necessária (P1)",IF(AND(P36="Crítico",Q36=0),"Controle necessário (P1)",IF(AND(P36="Crítico",Q36=2),"Controle necessário (P1) Informação adicional necessária (P1)",IF(AND(P36="Baixo",Q36=1),"Informação adicional necessária (P2)",IF(AND(P36="Baixo",Q36=2),"Informação adicional necessária (P1)",IF(AND(P36="Crítico",Q36=1),"Controle necessário (P1) Informação adicional necessária (P1)",IF(AND(P36="Médio",Q36=1),"Informação adicional necessária (P2) antes de se decidir se há necessidade de controle adicional.",IF(AND(P36="Baixo",Q36=0),"Nenhum controle adicional é necessário. Manter o controle existente. (P1)","")))))))))))))))</f>
        <v>Controle necessário (P1) Informação adicional necessária (P2)</v>
      </c>
      <c r="S36" s="75" t="str">
        <f>IFERROR(VLOOKUP(AD36,MATRIZ!A:E,5,0),"")</f>
        <v>Semestral (P1)</v>
      </c>
      <c r="AA36">
        <f>IFERROR(VLOOKUP(N36,MATRIZ!H:I,2,0),"")</f>
        <v>3</v>
      </c>
      <c r="AB36">
        <f>IFERROR(VLOOKUP(O36,MATRIZ!K:L,2,0),"")</f>
        <v>3</v>
      </c>
      <c r="AD36" t="str">
        <f t="shared" si="5"/>
        <v>33</v>
      </c>
    </row>
    <row r="37" spans="1:30" ht="119.25" customHeight="1" thickBot="1" x14ac:dyDescent="0.3">
      <c r="A37" s="54" t="s">
        <v>149</v>
      </c>
      <c r="B37" s="59" t="s">
        <v>230</v>
      </c>
      <c r="C37" s="59" t="s">
        <v>233</v>
      </c>
      <c r="D37" s="59" t="s">
        <v>75</v>
      </c>
      <c r="E37" s="3" t="s">
        <v>229</v>
      </c>
      <c r="F37" s="3" t="s">
        <v>231</v>
      </c>
      <c r="G37" s="54" t="s">
        <v>1</v>
      </c>
      <c r="H37" s="89" t="s">
        <v>202</v>
      </c>
      <c r="I37" s="59" t="s">
        <v>75</v>
      </c>
      <c r="J37" s="59" t="s">
        <v>75</v>
      </c>
      <c r="K37" s="59" t="s">
        <v>75</v>
      </c>
      <c r="L37" s="59" t="s">
        <v>183</v>
      </c>
      <c r="M37" s="59" t="s">
        <v>182</v>
      </c>
      <c r="N37" s="41" t="s">
        <v>70</v>
      </c>
      <c r="O37" s="41" t="s">
        <v>94</v>
      </c>
      <c r="P37" s="74" t="str">
        <f>IF(AND(AA37=1,AB37=1),"Irrelevante",IF(AND(AA37=3,AB37=1),"Baixo",IF(AND(AA37=1,AB37=2),"Baixo",IF(AND(AA37=1,AB37=3),"Baixo",IF(AND(AA37=2,AB37=2),"Baixo",IF(AND(AA37=4,AB37=2),"Alto",IF(AND(AA37=3,AB37=3),"Alto",IF(AND(AA37=3,AB37=4),"Alto",IF(AND(AA37=2,AB37=4),"Alto",IF(AND(AA37=4,AB37=4),"Crítico",IF(AND(AA37=4,AB37=3),"Alto",IF(AND(AA37=3,AB37=2),"Médio",IF(AND(AA37=1,AB37=4),"Médio",IF(AND(AA37=4,AB37=1),"Médio",IF(AND(AA37=2,AB37=3),"Médio",IF(AND(AA37=2,AB37=1),"Baixo",""))))))))))))))))</f>
        <v>Alto</v>
      </c>
      <c r="Q37" s="41">
        <v>1</v>
      </c>
      <c r="R37" s="75" t="str">
        <f>IF(AND(P37="Irrelevante",Q37=0),"Nenhuma ação é necessária",IF(AND(P37="Irrelevante",Q37=1),"Nenhuma informação adicional é necessária.",IF(AND(P37="Irrelevante",Q37=2),"Nenhuma informação adicional é necessária.",IF(AND(P37="Médio",Q37=0),"Manter o controle existente. (P1) Controle adicional necessário se for possível e viável. (P2)",IF(AND(P37="Médio",Q37=2),"Informação adicional necessária (P1) antes de se decidir se há necessidade de controle adicional.",IF(AND(P37="Alto",Q37=0),"Controle necessário (P1)",IF(AND(P37="Alto",Q37=1),"Controle necessário (P1) Informação adicional necessária (P2)",IF(AND(P37="Alto",Q37=2),"Controle necessário (P1) Informação adicional necessária (P1)",IF(AND(P37="Crítico",Q37=0),"Controle necessário (P1)",IF(AND(P37="Crítico",Q37=2),"Controle necessário (P1) Informação adicional necessária (P1)",IF(AND(P37="Baixo",Q37=1),"Informação adicional necessária (P2)",IF(AND(P37="Baixo",Q37=2),"Informação adicional necessária (P1)",IF(AND(P37="Crítico",Q37=1),"Controle necessário (P1) Informação adicional necessária (P1)",IF(AND(P37="Médio",Q37=1),"Informação adicional necessária (P2) antes de se decidir se há necessidade de controle adicional.",IF(AND(P37="Baixo",Q37=0),"Nenhum controle adicional é necessário. Manter o controle existente. (P1)","")))))))))))))))</f>
        <v>Controle necessário (P1) Informação adicional necessária (P2)</v>
      </c>
      <c r="S37" s="75" t="str">
        <f>IFERROR(VLOOKUP(AD37,MATRIZ!A:E,5,0),"")</f>
        <v>Monitorar após adotar medidas de controle (P1)</v>
      </c>
      <c r="AA37">
        <f>IFERROR(VLOOKUP(N37,MATRIZ!H:I,2,0),"")</f>
        <v>4</v>
      </c>
      <c r="AB37">
        <f>IFERROR(VLOOKUP(O37,MATRIZ!K:L,2,0),"")</f>
        <v>2</v>
      </c>
      <c r="AD37" t="str">
        <f t="shared" si="5"/>
        <v>42</v>
      </c>
    </row>
    <row r="38" spans="1:30" ht="51" customHeight="1" thickBot="1" x14ac:dyDescent="0.3">
      <c r="A38" s="89" t="s">
        <v>103</v>
      </c>
      <c r="B38" s="2" t="s">
        <v>104</v>
      </c>
      <c r="C38" s="89" t="s">
        <v>105</v>
      </c>
      <c r="D38" s="2" t="s">
        <v>200</v>
      </c>
      <c r="E38" s="89" t="s">
        <v>201</v>
      </c>
      <c r="F38" s="89" t="s">
        <v>107</v>
      </c>
      <c r="G38" s="89" t="s">
        <v>1</v>
      </c>
      <c r="H38" s="90"/>
      <c r="I38" s="89">
        <v>17968</v>
      </c>
      <c r="J38" s="89" t="s">
        <v>75</v>
      </c>
      <c r="K38" s="89" t="s">
        <v>1</v>
      </c>
      <c r="L38" s="3" t="s">
        <v>109</v>
      </c>
      <c r="M38" s="2" t="s">
        <v>90</v>
      </c>
      <c r="N38" s="38" t="s">
        <v>0</v>
      </c>
      <c r="O38" s="38" t="s">
        <v>94</v>
      </c>
      <c r="P38" s="39" t="str">
        <f t="shared" si="3"/>
        <v>Baixo</v>
      </c>
      <c r="Q38" s="38">
        <v>0</v>
      </c>
      <c r="R38" s="38" t="str">
        <f t="shared" si="4"/>
        <v>Nenhum controle adicional é necessário. Manter o controle existente. (P1)</v>
      </c>
      <c r="S38" s="38" t="str">
        <f>IFERROR(VLOOKUP(AD38,MATRIZ!A:E,5,0),"")</f>
        <v>Monitoramento periódico não necessário.</v>
      </c>
      <c r="AA38">
        <f>IFERROR(VLOOKUP(N38,MATRIZ!H:I,2,0),"")</f>
        <v>2</v>
      </c>
      <c r="AB38">
        <f>IFERROR(VLOOKUP(O38,MATRIZ!K:L,2,0),"")</f>
        <v>2</v>
      </c>
      <c r="AD38" t="str">
        <f t="shared" si="1"/>
        <v>22</v>
      </c>
    </row>
    <row r="39" spans="1:30" ht="27.75" customHeight="1" thickBot="1" x14ac:dyDescent="0.3">
      <c r="A39" s="125"/>
      <c r="B39" s="6" t="s">
        <v>110</v>
      </c>
      <c r="C39" s="125"/>
      <c r="D39" s="6" t="s">
        <v>203</v>
      </c>
      <c r="E39" s="125"/>
      <c r="F39" s="125"/>
      <c r="G39" s="125"/>
      <c r="H39" s="90"/>
      <c r="I39" s="125"/>
      <c r="J39" s="125"/>
      <c r="K39" s="125"/>
      <c r="L39" s="7" t="s">
        <v>109</v>
      </c>
      <c r="M39" s="89" t="s">
        <v>93</v>
      </c>
      <c r="N39" s="36" t="s">
        <v>0</v>
      </c>
      <c r="O39" s="36" t="s">
        <v>94</v>
      </c>
      <c r="P39" s="37" t="str">
        <f t="shared" si="3"/>
        <v>Baixo</v>
      </c>
      <c r="Q39" s="36">
        <v>1</v>
      </c>
      <c r="R39" s="36" t="str">
        <f t="shared" si="4"/>
        <v>Informação adicional necessária (P2)</v>
      </c>
      <c r="S39" s="36" t="str">
        <f>IFERROR(VLOOKUP(AD39,MATRIZ!A:E,5,0),"")</f>
        <v>Monitoramento periódico não necessário.</v>
      </c>
      <c r="AA39">
        <f>IFERROR(VLOOKUP(N39,MATRIZ!H:I,2,0),"")</f>
        <v>2</v>
      </c>
      <c r="AB39">
        <f>IFERROR(VLOOKUP(O39,MATRIZ!K:L,2,0),"")</f>
        <v>2</v>
      </c>
      <c r="AD39" t="str">
        <f t="shared" si="1"/>
        <v>22</v>
      </c>
    </row>
    <row r="40" spans="1:30" ht="33.75" customHeight="1" thickBot="1" x14ac:dyDescent="0.3">
      <c r="A40" s="126"/>
      <c r="B40" s="3" t="s">
        <v>112</v>
      </c>
      <c r="C40" s="126"/>
      <c r="D40" s="3" t="s">
        <v>204</v>
      </c>
      <c r="E40" s="126"/>
      <c r="F40" s="126"/>
      <c r="G40" s="126"/>
      <c r="H40" s="91"/>
      <c r="I40" s="126"/>
      <c r="J40" s="126"/>
      <c r="K40" s="126"/>
      <c r="L40" s="3" t="s">
        <v>111</v>
      </c>
      <c r="M40" s="126"/>
      <c r="N40" s="36" t="s">
        <v>0</v>
      </c>
      <c r="O40" s="36" t="s">
        <v>94</v>
      </c>
      <c r="P40" s="37" t="str">
        <f t="shared" si="3"/>
        <v>Baixo</v>
      </c>
      <c r="Q40" s="36">
        <v>1</v>
      </c>
      <c r="R40" s="36" t="str">
        <f t="shared" si="4"/>
        <v>Informação adicional necessária (P2)</v>
      </c>
      <c r="S40" s="36" t="str">
        <f>IFERROR(VLOOKUP(AD40,MATRIZ!A:E,5,0),"")</f>
        <v>Monitoramento periódico não necessário.</v>
      </c>
      <c r="AA40">
        <f>IFERROR(VLOOKUP(N40,MATRIZ!H:I,2,0),"")</f>
        <v>2</v>
      </c>
      <c r="AB40">
        <f>IFERROR(VLOOKUP(O40,MATRIZ!K:L,2,0),"")</f>
        <v>2</v>
      </c>
      <c r="AD40" t="str">
        <f t="shared" si="1"/>
        <v>22</v>
      </c>
    </row>
    <row r="41" spans="1:30" s="40" customFormat="1" ht="9.9499999999999993" customHeight="1" thickBot="1" x14ac:dyDescent="0.3">
      <c r="A41" s="117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</row>
    <row r="42" spans="1:30" ht="15" customHeight="1" thickBot="1" x14ac:dyDescent="0.3">
      <c r="A42" s="56" t="s">
        <v>76</v>
      </c>
      <c r="B42" s="103" t="s">
        <v>99</v>
      </c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4"/>
    </row>
    <row r="43" spans="1:30" ht="12.75" customHeight="1" thickBot="1" x14ac:dyDescent="0.3">
      <c r="A43" s="57" t="s">
        <v>78</v>
      </c>
      <c r="B43" s="105" t="s">
        <v>208</v>
      </c>
      <c r="C43" s="106"/>
      <c r="D43" s="106"/>
      <c r="E43" s="106"/>
      <c r="F43" s="106"/>
      <c r="G43" s="106"/>
      <c r="H43" s="106"/>
      <c r="I43" s="107"/>
      <c r="J43" s="108" t="s">
        <v>79</v>
      </c>
      <c r="K43" s="109"/>
      <c r="L43" s="109"/>
      <c r="M43" s="105">
        <v>1</v>
      </c>
      <c r="N43" s="106"/>
      <c r="O43" s="107"/>
      <c r="P43" s="58" t="s">
        <v>80</v>
      </c>
      <c r="Q43" s="106" t="s">
        <v>81</v>
      </c>
      <c r="R43" s="109"/>
      <c r="S43" s="110"/>
    </row>
    <row r="44" spans="1:30" ht="12.75" customHeight="1" thickBot="1" x14ac:dyDescent="0.3">
      <c r="A44" s="111" t="s">
        <v>24</v>
      </c>
      <c r="B44" s="112"/>
      <c r="C44" s="112"/>
      <c r="D44" s="112"/>
      <c r="E44" s="113"/>
      <c r="F44" s="111" t="s">
        <v>170</v>
      </c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3"/>
    </row>
    <row r="45" spans="1:30" ht="45" customHeight="1" thickBot="1" x14ac:dyDescent="0.3">
      <c r="A45" s="114" t="s">
        <v>172</v>
      </c>
      <c r="B45" s="115"/>
      <c r="C45" s="115"/>
      <c r="D45" s="115"/>
      <c r="E45" s="116"/>
      <c r="F45" s="92" t="s">
        <v>173</v>
      </c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4"/>
    </row>
    <row r="46" spans="1:30" ht="25.5" customHeight="1" thickBot="1" x14ac:dyDescent="0.3">
      <c r="A46" s="95" t="s">
        <v>23</v>
      </c>
      <c r="B46" s="95" t="s">
        <v>22</v>
      </c>
      <c r="C46" s="95" t="s">
        <v>21</v>
      </c>
      <c r="D46" s="95" t="s">
        <v>20</v>
      </c>
      <c r="E46" s="95" t="s">
        <v>19</v>
      </c>
      <c r="F46" s="98" t="s">
        <v>18</v>
      </c>
      <c r="G46" s="99"/>
      <c r="H46" s="99"/>
      <c r="I46" s="99"/>
      <c r="J46" s="99"/>
      <c r="K46" s="100"/>
      <c r="L46" s="98" t="s">
        <v>17</v>
      </c>
      <c r="M46" s="100"/>
      <c r="N46" s="98" t="s">
        <v>16</v>
      </c>
      <c r="O46" s="99"/>
      <c r="P46" s="99"/>
      <c r="Q46" s="100"/>
      <c r="R46" s="95" t="s">
        <v>15</v>
      </c>
      <c r="S46" s="95" t="s">
        <v>14</v>
      </c>
    </row>
    <row r="47" spans="1:30" ht="18" customHeight="1" x14ac:dyDescent="0.25">
      <c r="A47" s="96"/>
      <c r="B47" s="96"/>
      <c r="C47" s="96"/>
      <c r="D47" s="96"/>
      <c r="E47" s="96"/>
      <c r="F47" s="95" t="s">
        <v>13</v>
      </c>
      <c r="G47" s="25" t="s">
        <v>10</v>
      </c>
      <c r="H47" s="95" t="s">
        <v>12</v>
      </c>
      <c r="I47" s="95" t="s">
        <v>11</v>
      </c>
      <c r="J47" s="95" t="s">
        <v>95</v>
      </c>
      <c r="K47" s="25" t="s">
        <v>10</v>
      </c>
      <c r="L47" s="95" t="s">
        <v>9</v>
      </c>
      <c r="M47" s="95" t="s">
        <v>8</v>
      </c>
      <c r="N47" s="95" t="s">
        <v>7</v>
      </c>
      <c r="O47" s="95" t="s">
        <v>6</v>
      </c>
      <c r="P47" s="101" t="s">
        <v>5</v>
      </c>
      <c r="Q47" s="95" t="s">
        <v>4</v>
      </c>
      <c r="R47" s="96"/>
      <c r="S47" s="96"/>
    </row>
    <row r="48" spans="1:30" ht="21" customHeight="1" thickBot="1" x14ac:dyDescent="0.3">
      <c r="A48" s="97"/>
      <c r="B48" s="97"/>
      <c r="C48" s="97"/>
      <c r="D48" s="97"/>
      <c r="E48" s="97"/>
      <c r="F48" s="97"/>
      <c r="G48" s="35" t="s">
        <v>3</v>
      </c>
      <c r="H48" s="97"/>
      <c r="I48" s="97"/>
      <c r="J48" s="97"/>
      <c r="K48" s="35" t="s">
        <v>3</v>
      </c>
      <c r="L48" s="97"/>
      <c r="M48" s="97"/>
      <c r="N48" s="97"/>
      <c r="O48" s="97"/>
      <c r="P48" s="102"/>
      <c r="Q48" s="97"/>
      <c r="R48" s="97"/>
      <c r="S48" s="97"/>
    </row>
    <row r="49" spans="1:30" ht="67.5" customHeight="1" thickBot="1" x14ac:dyDescent="0.3">
      <c r="A49" s="4" t="s">
        <v>74</v>
      </c>
      <c r="B49" s="4" t="s">
        <v>84</v>
      </c>
      <c r="C49" s="4" t="s">
        <v>85</v>
      </c>
      <c r="D49" s="4" t="s">
        <v>199</v>
      </c>
      <c r="E49" s="4" t="s">
        <v>114</v>
      </c>
      <c r="F49" s="4" t="s">
        <v>75</v>
      </c>
      <c r="G49" s="4" t="s">
        <v>75</v>
      </c>
      <c r="H49" s="4" t="s">
        <v>97</v>
      </c>
      <c r="I49" s="4">
        <v>11512</v>
      </c>
      <c r="J49" s="4" t="s">
        <v>101</v>
      </c>
      <c r="K49" s="4" t="s">
        <v>1</v>
      </c>
      <c r="L49" s="3" t="s">
        <v>115</v>
      </c>
      <c r="M49" s="4" t="s">
        <v>90</v>
      </c>
      <c r="N49" s="38" t="s">
        <v>136</v>
      </c>
      <c r="O49" s="38" t="s">
        <v>94</v>
      </c>
      <c r="P49" s="39" t="str">
        <f t="shared" si="3"/>
        <v>Médio</v>
      </c>
      <c r="Q49" s="38">
        <v>0</v>
      </c>
      <c r="R49" s="38" t="str">
        <f t="shared" si="4"/>
        <v>Manter o controle existente. (P1) Controle adicional necessário se for possível e viável. (P2)</v>
      </c>
      <c r="S49" s="38" t="str">
        <f>IFERROR(VLOOKUP(AD49,MATRIZ!A:E,5,0),"")</f>
        <v>Anual (P2)</v>
      </c>
      <c r="AA49">
        <f>IFERROR(VLOOKUP(N49,MATRIZ!H:I,2,0),"")</f>
        <v>3</v>
      </c>
      <c r="AB49">
        <f>IFERROR(VLOOKUP(O49,MATRIZ!K:L,2,0),"")</f>
        <v>2</v>
      </c>
      <c r="AD49" t="str">
        <f t="shared" si="1"/>
        <v>32</v>
      </c>
    </row>
    <row r="50" spans="1:30" ht="72" customHeight="1" thickBot="1" x14ac:dyDescent="0.3">
      <c r="A50" s="3" t="s">
        <v>149</v>
      </c>
      <c r="B50" s="59" t="s">
        <v>238</v>
      </c>
      <c r="C50" s="59" t="s">
        <v>240</v>
      </c>
      <c r="D50" s="59" t="s">
        <v>75</v>
      </c>
      <c r="E50" s="59" t="s">
        <v>239</v>
      </c>
      <c r="F50" s="59" t="s">
        <v>241</v>
      </c>
      <c r="G50" s="59" t="s">
        <v>75</v>
      </c>
      <c r="H50" s="59" t="s">
        <v>75</v>
      </c>
      <c r="I50" s="59" t="s">
        <v>75</v>
      </c>
      <c r="J50" s="59" t="s">
        <v>75</v>
      </c>
      <c r="K50" s="59" t="s">
        <v>75</v>
      </c>
      <c r="L50" s="59" t="s">
        <v>183</v>
      </c>
      <c r="M50" s="59" t="s">
        <v>182</v>
      </c>
      <c r="N50" s="41" t="s">
        <v>136</v>
      </c>
      <c r="O50" s="41" t="s">
        <v>242</v>
      </c>
      <c r="P50" s="74" t="str">
        <f>IF(AND(AA50=1,AB50=1),"Irrelevante",IF(AND(AA50=3,AB50=1),"Baixo",IF(AND(AA50=1,AB50=2),"Baixo",IF(AND(AA50=1,AB50=3),"Baixo",IF(AND(AA50=2,AB50=2),"Baixo",IF(AND(AA50=4,AB50=2),"Alto",IF(AND(AA50=3,AB50=3),"Alto",IF(AND(AA50=3,AB50=4),"Alto",IF(AND(AA50=2,AB50=4),"Alto",IF(AND(AA50=4,AB50=4),"Crítico",IF(AND(AA50=4,AB50=3),"Alto",IF(AND(AA50=3,AB50=2),"Médio",IF(AND(AA50=1,AB50=4),"Médio",IF(AND(AA50=4,AB50=1),"Médio",IF(AND(AA50=2,AB50=3),"Médio",IF(AND(AA50=2,AB50=1),"Baixo",""))))))))))))))))</f>
        <v>Alto</v>
      </c>
      <c r="Q50" s="41">
        <v>1</v>
      </c>
      <c r="R50" s="75" t="str">
        <f>IF(AND(P50="Irrelevante",Q50=0),"Nenhuma ação é necessária",IF(AND(P50="Irrelevante",Q50=1),"Nenhuma informação adicional é necessária.",IF(AND(P50="Irrelevante",Q50=2),"Nenhuma informação adicional é necessária.",IF(AND(P50="Médio",Q50=0),"Manter o controle existente. (P1) Controle adicional necessário se for possível e viável. (P2)",IF(AND(P50="Médio",Q50=2),"Informação adicional necessária (P1) antes de se decidir se há necessidade de controle adicional.",IF(AND(P50="Alto",Q50=0),"Controle necessário (P1)",IF(AND(P50="Alto",Q50=1),"Controle necessário (P1) Informação adicional necessária (P2)",IF(AND(P50="Alto",Q50=2),"Controle necessário (P1) Informação adicional necessária (P1)",IF(AND(P50="Crítico",Q50=0),"Controle necessário (P1)",IF(AND(P50="Crítico",Q50=2),"Controle necessário (P1) Informação adicional necessária (P1)",IF(AND(P50="Baixo",Q50=1),"Informação adicional necessária (P2)",IF(AND(P50="Baixo",Q50=2),"Informação adicional necessária (P1)",IF(AND(P50="Crítico",Q50=1),"Controle necessário (P1) Informação adicional necessária (P1)",IF(AND(P50="Médio",Q50=1),"Informação adicional necessária (P2) antes de se decidir se há necessidade de controle adicional.",IF(AND(P50="Baixo",Q50=0),"Nenhum controle adicional é necessário. Manter o controle existente. (P1)","")))))))))))))))</f>
        <v>Controle necessário (P1) Informação adicional necessária (P2)</v>
      </c>
      <c r="S50" s="75" t="str">
        <f>IFERROR(VLOOKUP(AD50,MATRIZ!A:E,5,0),"")</f>
        <v>Semestral (P1)</v>
      </c>
      <c r="AA50">
        <f>IFERROR(VLOOKUP(N50,MATRIZ!H:I,2,0),"")</f>
        <v>3</v>
      </c>
      <c r="AB50">
        <f>IFERROR(VLOOKUP(O50,MATRIZ!K:L,2,0),"")</f>
        <v>3</v>
      </c>
      <c r="AD50" t="str">
        <f t="shared" si="1"/>
        <v>33</v>
      </c>
    </row>
    <row r="51" spans="1:30" ht="115.5" customHeight="1" thickBot="1" x14ac:dyDescent="0.3">
      <c r="A51" s="54" t="s">
        <v>149</v>
      </c>
      <c r="B51" s="59" t="s">
        <v>232</v>
      </c>
      <c r="C51" s="59" t="s">
        <v>233</v>
      </c>
      <c r="D51" s="59" t="s">
        <v>75</v>
      </c>
      <c r="E51" s="3" t="s">
        <v>229</v>
      </c>
      <c r="F51" s="3" t="s">
        <v>231</v>
      </c>
      <c r="G51" s="54" t="s">
        <v>1</v>
      </c>
      <c r="H51" s="54"/>
      <c r="I51" s="59" t="s">
        <v>75</v>
      </c>
      <c r="J51" s="59" t="s">
        <v>75</v>
      </c>
      <c r="K51" s="59" t="s">
        <v>75</v>
      </c>
      <c r="L51" s="59" t="s">
        <v>183</v>
      </c>
      <c r="M51" s="59" t="s">
        <v>182</v>
      </c>
      <c r="N51" s="41" t="s">
        <v>136</v>
      </c>
      <c r="O51" s="41" t="s">
        <v>73</v>
      </c>
      <c r="P51" s="74" t="str">
        <f>IF(AND(AA51=1,AB51=1),"Irrelevante",IF(AND(AA51=3,AB51=1),"Baixo",IF(AND(AA51=1,AB51=2),"Baixo",IF(AND(AA51=1,AB51=3),"Baixo",IF(AND(AA51=2,AB51=2),"Baixo",IF(AND(AA51=4,AB51=2),"Alto",IF(AND(AA51=3,AB51=3),"Alto",IF(AND(AA51=3,AB51=4),"Alto",IF(AND(AA51=2,AB51=4),"Alto",IF(AND(AA51=4,AB51=4),"Crítico",IF(AND(AA51=4,AB51=3),"Alto",IF(AND(AA51=3,AB51=2),"Médio",IF(AND(AA51=1,AB51=4),"Médio",IF(AND(AA51=4,AB51=1),"Médio",IF(AND(AA51=2,AB51=3),"Médio",IF(AND(AA51=2,AB51=1),"Baixo",""))))))))))))))))</f>
        <v>Baixo</v>
      </c>
      <c r="Q51" s="41">
        <v>1</v>
      </c>
      <c r="R51" s="75" t="str">
        <f>IF(AND(P51="Irrelevante",Q51=0),"Nenhuma ação é necessária",IF(AND(P51="Irrelevante",Q51=1),"Nenhuma informação adicional é necessária.",IF(AND(P51="Irrelevante",Q51=2),"Nenhuma informação adicional é necessária.",IF(AND(P51="Médio",Q51=0),"Manter o controle existente. (P1) Controle adicional necessário se for possível e viável. (P2)",IF(AND(P51="Médio",Q51=2),"Informação adicional necessária (P1) antes de se decidir se há necessidade de controle adicional.",IF(AND(P51="Alto",Q51=0),"Controle necessário (P1)",IF(AND(P51="Alto",Q51=1),"Controle necessário (P1) Informação adicional necessária (P2)",IF(AND(P51="Alto",Q51=2),"Controle necessário (P1) Informação adicional necessária (P1)",IF(AND(P51="Crítico",Q51=0),"Controle necessário (P1)",IF(AND(P51="Crítico",Q51=2),"Controle necessário (P1) Informação adicional necessária (P1)",IF(AND(P51="Baixo",Q51=1),"Informação adicional necessária (P2)",IF(AND(P51="Baixo",Q51=2),"Informação adicional necessária (P1)",IF(AND(P51="Crítico",Q51=1),"Controle necessário (P1) Informação adicional necessária (P1)",IF(AND(P51="Médio",Q51=1),"Informação adicional necessária (P2) antes de se decidir se há necessidade de controle adicional.",IF(AND(P51="Baixo",Q51=0),"Nenhum controle adicional é necessário. Manter o controle existente. (P1)","")))))))))))))))</f>
        <v>Informação adicional necessária (P2)</v>
      </c>
      <c r="S51" s="75" t="str">
        <f>IFERROR(VLOOKUP(AD51,MATRIZ!A:E,5,0),"")</f>
        <v>Anual (P2)</v>
      </c>
      <c r="AA51">
        <f>IFERROR(VLOOKUP(N51,MATRIZ!H:I,2,0),"")</f>
        <v>3</v>
      </c>
      <c r="AB51">
        <f>IFERROR(VLOOKUP(O51,MATRIZ!K:L,2,0),"")</f>
        <v>1</v>
      </c>
      <c r="AD51" t="str">
        <f t="shared" si="1"/>
        <v>31</v>
      </c>
    </row>
    <row r="52" spans="1:30" ht="72.75" customHeight="1" thickBot="1" x14ac:dyDescent="0.3">
      <c r="A52" s="54" t="s">
        <v>179</v>
      </c>
      <c r="B52" s="59" t="s">
        <v>180</v>
      </c>
      <c r="C52" s="59" t="s">
        <v>181</v>
      </c>
      <c r="D52" s="59" t="s">
        <v>187</v>
      </c>
      <c r="E52" s="59" t="s">
        <v>236</v>
      </c>
      <c r="F52" s="59" t="s">
        <v>75</v>
      </c>
      <c r="G52" s="59" t="s">
        <v>75</v>
      </c>
      <c r="H52" s="59" t="s">
        <v>75</v>
      </c>
      <c r="I52" s="59" t="s">
        <v>75</v>
      </c>
      <c r="J52" s="59" t="s">
        <v>75</v>
      </c>
      <c r="K52" s="59" t="s">
        <v>75</v>
      </c>
      <c r="L52" s="59" t="s">
        <v>183</v>
      </c>
      <c r="M52" s="59" t="s">
        <v>182</v>
      </c>
      <c r="N52" s="41" t="s">
        <v>136</v>
      </c>
      <c r="O52" s="41" t="s">
        <v>94</v>
      </c>
      <c r="P52" s="74" t="str">
        <f>IF(AND(AA52=1,AB52=1),"Irrelevante",IF(AND(AA52=3,AB52=1),"Baixo",IF(AND(AA52=1,AB52=2),"Baixo",IF(AND(AA52=1,AB52=3),"Baixo",IF(AND(AA52=2,AB52=2),"Baixo",IF(AND(AA52=4,AB52=2),"Alto",IF(AND(AA52=3,AB52=3),"Alto",IF(AND(AA52=3,AB52=4),"Alto",IF(AND(AA52=2,AB52=4),"Alto",IF(AND(AA52=4,AB52=4),"Crítico",IF(AND(AA52=4,AB52=3),"Alto",IF(AND(AA52=3,AB52=2),"Médio",IF(AND(AA52=1,AB52=4),"Médio",IF(AND(AA52=4,AB52=1),"Médio",IF(AND(AA52=2,AB52=3),"Médio",IF(AND(AA52=2,AB52=1),"Baixo",""))))))))))))))))</f>
        <v>Médio</v>
      </c>
      <c r="Q52" s="41">
        <v>2</v>
      </c>
      <c r="R52" s="75" t="str">
        <f>IF(AND(P52="Irrelevante",Q52=0),"Nenhuma ação é necessária",IF(AND(P52="Irrelevante",Q52=1),"Nenhuma informação adicional é necessária.",IF(AND(P52="Irrelevante",Q52=2),"Nenhuma informação adicional é necessária.",IF(AND(P52="Médio",Q52=0),"Manter o controle existente. (P1) Controle adicional necessário se for possível e viável. (P2)",IF(AND(P52="Médio",Q52=2),"Informação adicional necessária (P1) antes de se decidir se há necessidade de controle adicional.",IF(AND(P52="Alto",Q52=0),"Controle necessário (P1)",IF(AND(P52="Alto",Q52=1),"Controle necessário (P1) Informação adicional necessária (P2)",IF(AND(P52="Alto",Q52=2),"Controle necessário (P1) Informação adicional necessária (P1)",IF(AND(P52="Crítico",Q52=0),"Controle necessário (P1)",IF(AND(P52="Crítico",Q52=2),"Controle necessário (P1) Informação adicional necessária (P1)",IF(AND(P52="Baixo",Q52=1),"Informação adicional necessária (P2)",IF(AND(P52="Baixo",Q52=2),"Informação adicional necessária (P1)",IF(AND(P52="Crítico",Q52=1),"Controle necessário (P1) Informação adicional necessária (P1)",IF(AND(P52="Médio",Q52=1),"Informação adicional necessária (P2) antes de se decidir se há necessidade de controle adicional.",IF(AND(P52="Baixo",Q52=0),"Nenhum controle adicional é necessário. Manter o controle existente. (P1)","")))))))))))))))</f>
        <v>Informação adicional necessária (P1) antes de se decidir se há necessidade de controle adicional.</v>
      </c>
      <c r="S52" s="75" t="str">
        <f>IFERROR(VLOOKUP(AD52,MATRIZ!A:E,5,0),"")</f>
        <v>Anual (P2)</v>
      </c>
      <c r="AA52">
        <f>IFERROR(VLOOKUP(N52,MATRIZ!H:I,2,0),"")</f>
        <v>3</v>
      </c>
      <c r="AB52">
        <f>IFERROR(VLOOKUP(O52,MATRIZ!K:L,2,0),"")</f>
        <v>2</v>
      </c>
      <c r="AD52" t="str">
        <f t="shared" si="1"/>
        <v>32</v>
      </c>
    </row>
    <row r="53" spans="1:30" ht="49.5" customHeight="1" thickBot="1" x14ac:dyDescent="0.3">
      <c r="A53" s="89" t="s">
        <v>103</v>
      </c>
      <c r="B53" s="4" t="s">
        <v>104</v>
      </c>
      <c r="C53" s="89" t="s">
        <v>105</v>
      </c>
      <c r="D53" s="4" t="s">
        <v>106</v>
      </c>
      <c r="E53" s="89" t="s">
        <v>206</v>
      </c>
      <c r="F53" s="4" t="s">
        <v>116</v>
      </c>
      <c r="G53" s="4" t="s">
        <v>1</v>
      </c>
      <c r="H53" s="89" t="s">
        <v>108</v>
      </c>
      <c r="I53" s="89">
        <v>17968</v>
      </c>
      <c r="J53" s="89" t="s">
        <v>75</v>
      </c>
      <c r="K53" s="89" t="s">
        <v>1</v>
      </c>
      <c r="L53" s="5" t="s">
        <v>117</v>
      </c>
      <c r="M53" s="4" t="s">
        <v>90</v>
      </c>
      <c r="N53" s="36" t="s">
        <v>0</v>
      </c>
      <c r="O53" s="36" t="s">
        <v>94</v>
      </c>
      <c r="P53" s="37" t="str">
        <f t="shared" si="3"/>
        <v>Baixo</v>
      </c>
      <c r="Q53" s="36">
        <v>0</v>
      </c>
      <c r="R53" s="36" t="str">
        <f t="shared" si="4"/>
        <v>Nenhum controle adicional é necessário. Manter o controle existente. (P1)</v>
      </c>
      <c r="S53" s="36" t="str">
        <f>IFERROR(VLOOKUP(AD53,MATRIZ!A:E,5,0),"")</f>
        <v>Monitoramento periódico não necessário.</v>
      </c>
      <c r="AA53">
        <f>IFERROR(VLOOKUP(N53,MATRIZ!H:I,2,0),"")</f>
        <v>2</v>
      </c>
      <c r="AB53">
        <f>IFERROR(VLOOKUP(O53,MATRIZ!K:L,2,0),"")</f>
        <v>2</v>
      </c>
      <c r="AD53" t="str">
        <f t="shared" si="1"/>
        <v>22</v>
      </c>
    </row>
    <row r="54" spans="1:30" ht="52.5" customHeight="1" thickBot="1" x14ac:dyDescent="0.3">
      <c r="A54" s="125"/>
      <c r="B54" s="2" t="s">
        <v>121</v>
      </c>
      <c r="C54" s="125"/>
      <c r="D54" s="2" t="s">
        <v>122</v>
      </c>
      <c r="E54" s="125"/>
      <c r="F54" s="2" t="s">
        <v>2</v>
      </c>
      <c r="G54" s="2" t="s">
        <v>1</v>
      </c>
      <c r="H54" s="125"/>
      <c r="I54" s="125"/>
      <c r="J54" s="125"/>
      <c r="K54" s="125"/>
      <c r="L54" s="2" t="s">
        <v>123</v>
      </c>
      <c r="M54" s="4" t="s">
        <v>90</v>
      </c>
      <c r="N54" s="36" t="s">
        <v>0</v>
      </c>
      <c r="O54" s="36" t="s">
        <v>94</v>
      </c>
      <c r="P54" s="37" t="str">
        <f t="shared" si="3"/>
        <v>Baixo</v>
      </c>
      <c r="Q54" s="36">
        <v>0</v>
      </c>
      <c r="R54" s="36" t="str">
        <f t="shared" si="4"/>
        <v>Nenhum controle adicional é necessário. Manter o controle existente. (P1)</v>
      </c>
      <c r="S54" s="36" t="str">
        <f>IFERROR(VLOOKUP(AD54,MATRIZ!A:E,5,0),"")</f>
        <v>Monitoramento periódico não necessário.</v>
      </c>
      <c r="AA54">
        <f>IFERROR(VLOOKUP(N54,MATRIZ!H:I,2,0),"")</f>
        <v>2</v>
      </c>
      <c r="AB54">
        <f>IFERROR(VLOOKUP(O54,MATRIZ!K:L,2,0),"")</f>
        <v>2</v>
      </c>
      <c r="AD54" t="str">
        <f t="shared" si="1"/>
        <v>22</v>
      </c>
    </row>
    <row r="55" spans="1:30" ht="49.5" customHeight="1" thickBot="1" x14ac:dyDescent="0.3">
      <c r="A55" s="125"/>
      <c r="B55" s="2" t="s">
        <v>124</v>
      </c>
      <c r="C55" s="125"/>
      <c r="D55" s="2" t="s">
        <v>125</v>
      </c>
      <c r="E55" s="125"/>
      <c r="F55" s="2" t="s">
        <v>119</v>
      </c>
      <c r="G55" s="2" t="s">
        <v>1</v>
      </c>
      <c r="H55" s="126"/>
      <c r="I55" s="126"/>
      <c r="J55" s="126"/>
      <c r="K55" s="126"/>
      <c r="L55" s="2" t="s">
        <v>127</v>
      </c>
      <c r="M55" s="4" t="s">
        <v>90</v>
      </c>
      <c r="N55" s="36" t="s">
        <v>0</v>
      </c>
      <c r="O55" s="36" t="s">
        <v>94</v>
      </c>
      <c r="P55" s="37" t="str">
        <f t="shared" si="3"/>
        <v>Baixo</v>
      </c>
      <c r="Q55" s="36">
        <v>0</v>
      </c>
      <c r="R55" s="36" t="str">
        <f t="shared" si="4"/>
        <v>Nenhum controle adicional é necessário. Manter o controle existente. (P1)</v>
      </c>
      <c r="S55" s="36" t="str">
        <f>IFERROR(VLOOKUP(AD55,MATRIZ!A:E,5,0),"")</f>
        <v>Monitoramento periódico não necessário.</v>
      </c>
      <c r="AA55">
        <f>IFERROR(VLOOKUP(N55,MATRIZ!H:I,2,0),"")</f>
        <v>2</v>
      </c>
      <c r="AB55">
        <f>IFERROR(VLOOKUP(O55,MATRIZ!K:L,2,0),"")</f>
        <v>2</v>
      </c>
      <c r="AD55" t="str">
        <f t="shared" si="1"/>
        <v>22</v>
      </c>
    </row>
    <row r="56" spans="1:30" ht="56.25" customHeight="1" thickBot="1" x14ac:dyDescent="0.3">
      <c r="A56" s="126"/>
      <c r="B56" s="2" t="s">
        <v>118</v>
      </c>
      <c r="C56" s="126"/>
      <c r="D56" s="63" t="s">
        <v>205</v>
      </c>
      <c r="E56" s="126"/>
      <c r="F56" s="2" t="s">
        <v>126</v>
      </c>
      <c r="G56" s="2" t="s">
        <v>1</v>
      </c>
      <c r="H56" s="2" t="s">
        <v>120</v>
      </c>
      <c r="I56" s="2">
        <v>19072</v>
      </c>
      <c r="J56" s="7" t="s">
        <v>75</v>
      </c>
      <c r="K56" s="2" t="s">
        <v>1</v>
      </c>
      <c r="L56" s="2" t="s">
        <v>109</v>
      </c>
      <c r="M56" s="3" t="s">
        <v>90</v>
      </c>
      <c r="N56" s="36" t="s">
        <v>0</v>
      </c>
      <c r="O56" s="36" t="s">
        <v>94</v>
      </c>
      <c r="P56" s="37" t="str">
        <f t="shared" si="3"/>
        <v>Baixo</v>
      </c>
      <c r="Q56" s="36">
        <v>0</v>
      </c>
      <c r="R56" s="36" t="str">
        <f t="shared" si="4"/>
        <v>Nenhum controle adicional é necessário. Manter o controle existente. (P1)</v>
      </c>
      <c r="S56" s="36" t="str">
        <f>IFERROR(VLOOKUP(AD56,MATRIZ!A:E,5,0),"")</f>
        <v>Monitoramento periódico não necessário.</v>
      </c>
      <c r="AA56">
        <f>IFERROR(VLOOKUP(N56,MATRIZ!H:I,2,0),"")</f>
        <v>2</v>
      </c>
      <c r="AB56">
        <f>IFERROR(VLOOKUP(O56,MATRIZ!K:L,2,0),"")</f>
        <v>2</v>
      </c>
      <c r="AD56" t="str">
        <f t="shared" si="1"/>
        <v>22</v>
      </c>
    </row>
    <row r="57" spans="1:30" s="40" customFormat="1" ht="9.9499999999999993" customHeight="1" thickBot="1" x14ac:dyDescent="0.3">
      <c r="A57" s="117"/>
      <c r="B57" s="117"/>
      <c r="C57" s="117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</row>
    <row r="58" spans="1:30" ht="15" customHeight="1" thickBot="1" x14ac:dyDescent="0.3">
      <c r="A58" s="56" t="s">
        <v>76</v>
      </c>
      <c r="B58" s="103" t="s">
        <v>113</v>
      </c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4"/>
    </row>
    <row r="59" spans="1:30" ht="12.75" customHeight="1" thickBot="1" x14ac:dyDescent="0.3">
      <c r="A59" s="57" t="s">
        <v>78</v>
      </c>
      <c r="B59" s="105" t="s">
        <v>207</v>
      </c>
      <c r="C59" s="106"/>
      <c r="D59" s="106"/>
      <c r="E59" s="106"/>
      <c r="F59" s="106"/>
      <c r="G59" s="106"/>
      <c r="H59" s="106"/>
      <c r="I59" s="107"/>
      <c r="J59" s="108" t="s">
        <v>79</v>
      </c>
      <c r="K59" s="109"/>
      <c r="L59" s="109"/>
      <c r="M59" s="105">
        <v>1</v>
      </c>
      <c r="N59" s="106"/>
      <c r="O59" s="107"/>
      <c r="P59" s="58" t="s">
        <v>80</v>
      </c>
      <c r="Q59" s="106" t="s">
        <v>81</v>
      </c>
      <c r="R59" s="109"/>
      <c r="S59" s="110"/>
    </row>
    <row r="60" spans="1:30" ht="12.75" customHeight="1" thickBot="1" x14ac:dyDescent="0.3">
      <c r="A60" s="111" t="s">
        <v>24</v>
      </c>
      <c r="B60" s="112"/>
      <c r="C60" s="112"/>
      <c r="D60" s="112"/>
      <c r="E60" s="113"/>
      <c r="F60" s="111" t="s">
        <v>170</v>
      </c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3"/>
    </row>
    <row r="61" spans="1:30" ht="45" customHeight="1" thickBot="1" x14ac:dyDescent="0.3">
      <c r="A61" s="114" t="s">
        <v>175</v>
      </c>
      <c r="B61" s="115"/>
      <c r="C61" s="115"/>
      <c r="D61" s="115"/>
      <c r="E61" s="116"/>
      <c r="F61" s="92" t="s">
        <v>173</v>
      </c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4"/>
    </row>
    <row r="62" spans="1:30" ht="25.5" customHeight="1" thickBot="1" x14ac:dyDescent="0.3">
      <c r="A62" s="95" t="s">
        <v>23</v>
      </c>
      <c r="B62" s="95" t="s">
        <v>22</v>
      </c>
      <c r="C62" s="95" t="s">
        <v>21</v>
      </c>
      <c r="D62" s="95" t="s">
        <v>20</v>
      </c>
      <c r="E62" s="95" t="s">
        <v>19</v>
      </c>
      <c r="F62" s="98" t="s">
        <v>18</v>
      </c>
      <c r="G62" s="99"/>
      <c r="H62" s="99"/>
      <c r="I62" s="99"/>
      <c r="J62" s="99"/>
      <c r="K62" s="100"/>
      <c r="L62" s="98" t="s">
        <v>17</v>
      </c>
      <c r="M62" s="100"/>
      <c r="N62" s="98" t="s">
        <v>16</v>
      </c>
      <c r="O62" s="99"/>
      <c r="P62" s="99"/>
      <c r="Q62" s="100"/>
      <c r="R62" s="95" t="s">
        <v>15</v>
      </c>
      <c r="S62" s="95" t="s">
        <v>14</v>
      </c>
    </row>
    <row r="63" spans="1:30" ht="18" customHeight="1" x14ac:dyDescent="0.25">
      <c r="A63" s="96"/>
      <c r="B63" s="96"/>
      <c r="C63" s="96"/>
      <c r="D63" s="96"/>
      <c r="E63" s="96"/>
      <c r="F63" s="95" t="s">
        <v>13</v>
      </c>
      <c r="G63" s="25" t="s">
        <v>10</v>
      </c>
      <c r="H63" s="95" t="s">
        <v>12</v>
      </c>
      <c r="I63" s="95" t="s">
        <v>11</v>
      </c>
      <c r="J63" s="95" t="s">
        <v>95</v>
      </c>
      <c r="K63" s="25" t="s">
        <v>10</v>
      </c>
      <c r="L63" s="95" t="s">
        <v>9</v>
      </c>
      <c r="M63" s="95" t="s">
        <v>8</v>
      </c>
      <c r="N63" s="95" t="s">
        <v>7</v>
      </c>
      <c r="O63" s="95" t="s">
        <v>6</v>
      </c>
      <c r="P63" s="101" t="s">
        <v>5</v>
      </c>
      <c r="Q63" s="95" t="s">
        <v>4</v>
      </c>
      <c r="R63" s="96"/>
      <c r="S63" s="96"/>
    </row>
    <row r="64" spans="1:30" ht="21" customHeight="1" thickBot="1" x14ac:dyDescent="0.3">
      <c r="A64" s="97"/>
      <c r="B64" s="97"/>
      <c r="C64" s="97"/>
      <c r="D64" s="97"/>
      <c r="E64" s="97"/>
      <c r="F64" s="97"/>
      <c r="G64" s="35" t="s">
        <v>3</v>
      </c>
      <c r="H64" s="97"/>
      <c r="I64" s="97"/>
      <c r="J64" s="97"/>
      <c r="K64" s="35" t="s">
        <v>3</v>
      </c>
      <c r="L64" s="97"/>
      <c r="M64" s="97"/>
      <c r="N64" s="97"/>
      <c r="O64" s="97"/>
      <c r="P64" s="102"/>
      <c r="Q64" s="97"/>
      <c r="R64" s="97"/>
      <c r="S64" s="97"/>
    </row>
    <row r="65" spans="1:30" ht="54.95" customHeight="1" thickBot="1" x14ac:dyDescent="0.3">
      <c r="A65" s="3" t="s">
        <v>74</v>
      </c>
      <c r="B65" s="2" t="s">
        <v>129</v>
      </c>
      <c r="C65" s="2" t="s">
        <v>130</v>
      </c>
      <c r="D65" s="2" t="s">
        <v>131</v>
      </c>
      <c r="E65" s="2" t="s">
        <v>132</v>
      </c>
      <c r="F65" s="2" t="s">
        <v>2</v>
      </c>
      <c r="G65" s="2" t="s">
        <v>1</v>
      </c>
      <c r="H65" s="2" t="s">
        <v>75</v>
      </c>
      <c r="I65" s="2" t="s">
        <v>75</v>
      </c>
      <c r="J65" s="2" t="s">
        <v>75</v>
      </c>
      <c r="K65" s="2" t="s">
        <v>75</v>
      </c>
      <c r="L65" s="2" t="s">
        <v>133</v>
      </c>
      <c r="M65" s="2" t="s">
        <v>90</v>
      </c>
      <c r="N65" s="36" t="s">
        <v>0</v>
      </c>
      <c r="O65" s="36" t="s">
        <v>94</v>
      </c>
      <c r="P65" s="37" t="str">
        <f t="shared" si="3"/>
        <v>Baixo</v>
      </c>
      <c r="Q65" s="36">
        <v>0</v>
      </c>
      <c r="R65" s="36" t="str">
        <f t="shared" si="4"/>
        <v>Nenhum controle adicional é necessário. Manter o controle existente. (P1)</v>
      </c>
      <c r="S65" s="36" t="str">
        <f>IFERROR(VLOOKUP(AD65,MATRIZ!A:E,5,0),"")</f>
        <v>Monitoramento periódico não necessário.</v>
      </c>
      <c r="AA65">
        <f>IFERROR(VLOOKUP(N65,MATRIZ!H:I,2,0),"")</f>
        <v>2</v>
      </c>
      <c r="AB65">
        <f>IFERROR(VLOOKUP(O65,MATRIZ!K:L,2,0),"")</f>
        <v>2</v>
      </c>
      <c r="AD65" t="str">
        <f t="shared" si="1"/>
        <v>22</v>
      </c>
    </row>
    <row r="66" spans="1:30" ht="79.5" customHeight="1" thickBot="1" x14ac:dyDescent="0.3">
      <c r="A66" s="54" t="s">
        <v>179</v>
      </c>
      <c r="B66" s="59" t="s">
        <v>180</v>
      </c>
      <c r="C66" s="59" t="s">
        <v>181</v>
      </c>
      <c r="D66" s="59" t="s">
        <v>187</v>
      </c>
      <c r="E66" s="59" t="s">
        <v>236</v>
      </c>
      <c r="F66" s="59" t="s">
        <v>75</v>
      </c>
      <c r="G66" s="59" t="s">
        <v>75</v>
      </c>
      <c r="H66" s="59" t="s">
        <v>75</v>
      </c>
      <c r="I66" s="59" t="s">
        <v>75</v>
      </c>
      <c r="J66" s="59" t="s">
        <v>75</v>
      </c>
      <c r="K66" s="59" t="s">
        <v>75</v>
      </c>
      <c r="L66" s="59" t="s">
        <v>183</v>
      </c>
      <c r="M66" s="59" t="s">
        <v>182</v>
      </c>
      <c r="N66" s="60" t="s">
        <v>136</v>
      </c>
      <c r="O66" s="60" t="s">
        <v>94</v>
      </c>
      <c r="P66" s="61" t="str">
        <f>IF(AND(AA66=1,AB66=1),"Irrelevante",IF(AND(AA66=3,AB66=1),"Baixo",IF(AND(AA66=1,AB66=2),"Baixo",IF(AND(AA66=1,AB66=3),"Baixo",IF(AND(AA66=2,AB66=2),"Baixo",IF(AND(AA66=4,AB66=2),"Alto",IF(AND(AA66=3,AB66=3),"Alto",IF(AND(AA66=3,AB66=4),"Alto",IF(AND(AA66=2,AB66=4),"Alto",IF(AND(AA66=4,AB66=4),"Crítico",IF(AND(AA66=4,AB66=3),"Alto",IF(AND(AA66=3,AB66=2),"Médio",IF(AND(AA66=1,AB66=4),"Médio",IF(AND(AA66=4,AB66=1),"Médio",IF(AND(AA66=2,AB66=3),"Médio",IF(AND(AA66=2,AB66=1),"Baixo",""))))))))))))))))</f>
        <v>Médio</v>
      </c>
      <c r="Q66" s="60">
        <v>2</v>
      </c>
      <c r="R66" s="62" t="str">
        <f>IF(AND(P66="Irrelevante",Q66=0),"Nenhuma ação é necessária",IF(AND(P66="Irrelevante",Q66=1),"Nenhuma informação adicional é necessária.",IF(AND(P66="Irrelevante",Q66=2),"Nenhuma informação adicional é necessária.",IF(AND(P66="Médio",Q66=0),"Manter o controle existente. (P1) Controle adicional necessário se for possível e viável. (P2)",IF(AND(P66="Médio",Q66=2),"Informação adicional necessária (P1) antes de se decidir se há necessidade de controle adicional.",IF(AND(P66="Alto",Q66=0),"Controle necessário (P1)",IF(AND(P66="Alto",Q66=1),"Controle necessário (P1) Informação adicional necessária (P2)",IF(AND(P66="Alto",Q66=2),"Controle necessário (P1) Informação adicional necessária (P1)",IF(AND(P66="Crítico",Q66=0),"Controle necessário (P1)",IF(AND(P66="Crítico",Q66=2),"Controle necessário (P1) Informação adicional necessária (P1)",IF(AND(P66="Baixo",Q66=1),"Informação adicional necessária (P2)",IF(AND(P66="Baixo",Q66=2),"Informação adicional necessária (P1)",IF(AND(P66="Crítico",Q66=1),"Controle necessário (P1) Informação adicional necessária (P1)",IF(AND(P66="Médio",Q66=1),"Informação adicional necessária (P2) antes de se decidir se há necessidade de controle adicional.",IF(AND(P66="Baixo",Q66=0),"Nenhum controle adicional é necessário. Manter o controle existente. (P1)","")))))))))))))))</f>
        <v>Informação adicional necessária (P1) antes de se decidir se há necessidade de controle adicional.</v>
      </c>
      <c r="S66" s="62" t="str">
        <f>IFERROR(VLOOKUP(AD66,MATRIZ!A:E,5,0),"")</f>
        <v>Anual (P2)</v>
      </c>
      <c r="AA66">
        <f>IFERROR(VLOOKUP(N66,MATRIZ!H:I,2,0),"")</f>
        <v>3</v>
      </c>
      <c r="AB66">
        <f>IFERROR(VLOOKUP(O66,MATRIZ!K:L,2,0),"")</f>
        <v>2</v>
      </c>
      <c r="AD66" t="str">
        <f t="shared" ref="AD66:AD67" si="6">AA66&amp;AB66</f>
        <v>32</v>
      </c>
    </row>
    <row r="67" spans="1:30" ht="54.95" customHeight="1" thickBot="1" x14ac:dyDescent="0.3">
      <c r="A67" s="3" t="s">
        <v>149</v>
      </c>
      <c r="B67" s="59" t="s">
        <v>185</v>
      </c>
      <c r="C67" s="59" t="s">
        <v>186</v>
      </c>
      <c r="D67" s="59" t="s">
        <v>75</v>
      </c>
      <c r="E67" s="59" t="s">
        <v>234</v>
      </c>
      <c r="F67" s="59" t="s">
        <v>235</v>
      </c>
      <c r="G67" s="59" t="s">
        <v>75</v>
      </c>
      <c r="H67" s="59" t="s">
        <v>75</v>
      </c>
      <c r="I67" s="59" t="s">
        <v>75</v>
      </c>
      <c r="J67" s="59" t="s">
        <v>75</v>
      </c>
      <c r="K67" s="59" t="s">
        <v>75</v>
      </c>
      <c r="L67" s="59" t="s">
        <v>183</v>
      </c>
      <c r="M67" s="59" t="s">
        <v>182</v>
      </c>
      <c r="N67" s="60" t="s">
        <v>136</v>
      </c>
      <c r="O67" s="60" t="s">
        <v>94</v>
      </c>
      <c r="P67" s="61" t="str">
        <f>IF(AND(AA67=1,AB67=1),"Irrelevante",IF(AND(AA67=3,AB67=1),"Baixo",IF(AND(AA67=1,AB67=2),"Baixo",IF(AND(AA67=1,AB67=3),"Baixo",IF(AND(AA67=2,AB67=2),"Baixo",IF(AND(AA67=4,AB67=2),"Alto",IF(AND(AA67=3,AB67=3),"Alto",IF(AND(AA67=3,AB67=4),"Alto",IF(AND(AA67=2,AB67=4),"Alto",IF(AND(AA67=4,AB67=4),"Crítico",IF(AND(AA67=4,AB67=3),"Alto",IF(AND(AA67=3,AB67=2),"Médio",IF(AND(AA67=1,AB67=4),"Médio",IF(AND(AA67=4,AB67=1),"Médio",IF(AND(AA67=2,AB67=3),"Médio",IF(AND(AA67=2,AB67=1),"Baixo",""))))))))))))))))</f>
        <v>Médio</v>
      </c>
      <c r="Q67" s="60">
        <v>1</v>
      </c>
      <c r="R67" s="62" t="str">
        <f>IF(AND(P67="Irrelevante",Q67=0),"Nenhuma ação é necessária",IF(AND(P67="Irrelevante",Q67=1),"Nenhuma informação adicional é necessária.",IF(AND(P67="Irrelevante",Q67=2),"Nenhuma informação adicional é necessária.",IF(AND(P67="Médio",Q67=0),"Manter o controle existente. (P1) Controle adicional necessário se for possível e viável. (P2)",IF(AND(P67="Médio",Q67=2),"Informação adicional necessária (P1) antes de se decidir se há necessidade de controle adicional.",IF(AND(P67="Alto",Q67=0),"Controle necessário (P1)",IF(AND(P67="Alto",Q67=1),"Controle necessário (P1) Informação adicional necessária (P2)",IF(AND(P67="Alto",Q67=2),"Controle necessário (P1) Informação adicional necessária (P1)",IF(AND(P67="Crítico",Q67=0),"Controle necessário (P1)",IF(AND(P67="Crítico",Q67=2),"Controle necessário (P1) Informação adicional necessária (P1)",IF(AND(P67="Baixo",Q67=1),"Informação adicional necessária (P2)",IF(AND(P67="Baixo",Q67=2),"Informação adicional necessária (P1)",IF(AND(P67="Crítico",Q67=1),"Controle necessário (P1) Informação adicional necessária (P1)",IF(AND(P67="Médio",Q67=1),"Informação adicional necessária (P2) antes de se decidir se há necessidade de controle adicional.",IF(AND(P67="Baixo",Q67=0),"Nenhum controle adicional é necessário. Manter o controle existente. (P1)","")))))))))))))))</f>
        <v>Informação adicional necessária (P2) antes de se decidir se há necessidade de controle adicional.</v>
      </c>
      <c r="S67" s="62" t="str">
        <f>IFERROR(VLOOKUP(AD67,MATRIZ!A:E,5,0),"")</f>
        <v>Anual (P2)</v>
      </c>
      <c r="AA67">
        <f>IFERROR(VLOOKUP(N67,MATRIZ!H:I,2,0),"")</f>
        <v>3</v>
      </c>
      <c r="AB67">
        <f>IFERROR(VLOOKUP(O67,MATRIZ!K:L,2,0),"")</f>
        <v>2</v>
      </c>
      <c r="AD67" t="str">
        <f t="shared" si="6"/>
        <v>32</v>
      </c>
    </row>
    <row r="68" spans="1:30" ht="72.75" customHeight="1" thickBot="1" x14ac:dyDescent="0.3">
      <c r="A68" s="55" t="s">
        <v>74</v>
      </c>
      <c r="B68" s="2" t="s">
        <v>84</v>
      </c>
      <c r="C68" s="2" t="s">
        <v>85</v>
      </c>
      <c r="D68" s="2" t="s">
        <v>86</v>
      </c>
      <c r="E68" s="89" t="s">
        <v>134</v>
      </c>
      <c r="F68" s="2" t="s">
        <v>75</v>
      </c>
      <c r="G68" s="2" t="s">
        <v>75</v>
      </c>
      <c r="H68" s="2" t="s">
        <v>97</v>
      </c>
      <c r="I68" s="2">
        <v>11512</v>
      </c>
      <c r="J68" s="2" t="s">
        <v>101</v>
      </c>
      <c r="K68" s="2" t="s">
        <v>1</v>
      </c>
      <c r="L68" s="2" t="s">
        <v>135</v>
      </c>
      <c r="M68" s="2" t="s">
        <v>90</v>
      </c>
      <c r="N68" s="36" t="s">
        <v>136</v>
      </c>
      <c r="O68" s="36" t="s">
        <v>94</v>
      </c>
      <c r="P68" s="37" t="str">
        <f t="shared" si="3"/>
        <v>Médio</v>
      </c>
      <c r="Q68" s="36">
        <v>0</v>
      </c>
      <c r="R68" s="36" t="str">
        <f t="shared" si="4"/>
        <v>Manter o controle existente. (P1) Controle adicional necessário se for possível e viável. (P2)</v>
      </c>
      <c r="S68" s="36" t="str">
        <f>IFERROR(VLOOKUP(AD68,MATRIZ!A:E,5,0),"")</f>
        <v>Anual (P2)</v>
      </c>
      <c r="AA68">
        <f>IFERROR(VLOOKUP(N68,MATRIZ!H:I,2,0),"")</f>
        <v>3</v>
      </c>
      <c r="AB68">
        <f>IFERROR(VLOOKUP(O68,MATRIZ!K:L,2,0),"")</f>
        <v>2</v>
      </c>
      <c r="AD68" t="str">
        <f t="shared" si="1"/>
        <v>32</v>
      </c>
    </row>
    <row r="69" spans="1:30" ht="54.95" customHeight="1" thickBot="1" x14ac:dyDescent="0.3">
      <c r="A69" s="3" t="s">
        <v>103</v>
      </c>
      <c r="B69" s="2" t="s">
        <v>121</v>
      </c>
      <c r="C69" s="2" t="s">
        <v>137</v>
      </c>
      <c r="D69" s="2" t="s">
        <v>122</v>
      </c>
      <c r="E69" s="126"/>
      <c r="F69" s="2" t="s">
        <v>2</v>
      </c>
      <c r="G69" s="2" t="s">
        <v>1</v>
      </c>
      <c r="H69" s="2" t="s">
        <v>75</v>
      </c>
      <c r="I69" s="2" t="s">
        <v>75</v>
      </c>
      <c r="J69" s="2" t="s">
        <v>75</v>
      </c>
      <c r="K69" s="2" t="s">
        <v>75</v>
      </c>
      <c r="L69" s="2" t="s">
        <v>138</v>
      </c>
      <c r="M69" s="2" t="s">
        <v>90</v>
      </c>
      <c r="N69" s="36" t="s">
        <v>0</v>
      </c>
      <c r="O69" s="36" t="s">
        <v>94</v>
      </c>
      <c r="P69" s="37" t="str">
        <f t="shared" si="3"/>
        <v>Baixo</v>
      </c>
      <c r="Q69" s="36">
        <v>0</v>
      </c>
      <c r="R69" s="36" t="str">
        <f t="shared" si="4"/>
        <v>Nenhum controle adicional é necessário. Manter o controle existente. (P1)</v>
      </c>
      <c r="S69" s="36" t="str">
        <f>IFERROR(VLOOKUP(AD69,MATRIZ!A:E,5,0),"")</f>
        <v>Monitoramento periódico não necessário.</v>
      </c>
      <c r="AA69">
        <f>IFERROR(VLOOKUP(N69,MATRIZ!H:I,2,0),"")</f>
        <v>2</v>
      </c>
      <c r="AB69">
        <f>IFERROR(VLOOKUP(O69,MATRIZ!K:L,2,0),"")</f>
        <v>2</v>
      </c>
      <c r="AD69" t="str">
        <f t="shared" si="1"/>
        <v>22</v>
      </c>
    </row>
    <row r="70" spans="1:30" s="40" customFormat="1" ht="9.9499999999999993" customHeight="1" thickBot="1" x14ac:dyDescent="0.3">
      <c r="A70" s="117"/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</row>
    <row r="71" spans="1:30" ht="15" customHeight="1" thickBot="1" x14ac:dyDescent="0.3">
      <c r="A71" s="56" t="s">
        <v>76</v>
      </c>
      <c r="B71" s="103" t="s">
        <v>128</v>
      </c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4"/>
    </row>
    <row r="72" spans="1:30" ht="12.75" customHeight="1" thickBot="1" x14ac:dyDescent="0.3">
      <c r="A72" s="57" t="s">
        <v>78</v>
      </c>
      <c r="B72" s="105" t="s">
        <v>209</v>
      </c>
      <c r="C72" s="106"/>
      <c r="D72" s="106"/>
      <c r="E72" s="106"/>
      <c r="F72" s="106"/>
      <c r="G72" s="106"/>
      <c r="H72" s="106"/>
      <c r="I72" s="107"/>
      <c r="J72" s="108" t="s">
        <v>79</v>
      </c>
      <c r="K72" s="109"/>
      <c r="L72" s="109"/>
      <c r="M72" s="105">
        <v>1</v>
      </c>
      <c r="N72" s="106"/>
      <c r="O72" s="107"/>
      <c r="P72" s="58" t="s">
        <v>80</v>
      </c>
      <c r="Q72" s="106" t="s">
        <v>81</v>
      </c>
      <c r="R72" s="109"/>
      <c r="S72" s="110"/>
    </row>
    <row r="73" spans="1:30" ht="12.75" customHeight="1" thickBot="1" x14ac:dyDescent="0.3">
      <c r="A73" s="111" t="s">
        <v>24</v>
      </c>
      <c r="B73" s="112"/>
      <c r="C73" s="112"/>
      <c r="D73" s="112"/>
      <c r="E73" s="113"/>
      <c r="F73" s="111" t="s">
        <v>170</v>
      </c>
      <c r="G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  <c r="R73" s="112"/>
      <c r="S73" s="113"/>
    </row>
    <row r="74" spans="1:30" ht="45" customHeight="1" thickBot="1" x14ac:dyDescent="0.3">
      <c r="A74" s="114" t="s">
        <v>140</v>
      </c>
      <c r="B74" s="115"/>
      <c r="C74" s="115"/>
      <c r="D74" s="115"/>
      <c r="E74" s="116"/>
      <c r="F74" s="92" t="s">
        <v>173</v>
      </c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4"/>
    </row>
    <row r="75" spans="1:30" ht="25.5" customHeight="1" thickBot="1" x14ac:dyDescent="0.3">
      <c r="A75" s="95" t="s">
        <v>23</v>
      </c>
      <c r="B75" s="95" t="s">
        <v>22</v>
      </c>
      <c r="C75" s="95" t="s">
        <v>21</v>
      </c>
      <c r="D75" s="95" t="s">
        <v>20</v>
      </c>
      <c r="E75" s="95" t="s">
        <v>19</v>
      </c>
      <c r="F75" s="98" t="s">
        <v>18</v>
      </c>
      <c r="G75" s="99"/>
      <c r="H75" s="99"/>
      <c r="I75" s="99"/>
      <c r="J75" s="99"/>
      <c r="K75" s="100"/>
      <c r="L75" s="98" t="s">
        <v>17</v>
      </c>
      <c r="M75" s="100"/>
      <c r="N75" s="98" t="s">
        <v>16</v>
      </c>
      <c r="O75" s="99"/>
      <c r="P75" s="99"/>
      <c r="Q75" s="100"/>
      <c r="R75" s="95" t="s">
        <v>15</v>
      </c>
      <c r="S75" s="95" t="s">
        <v>14</v>
      </c>
    </row>
    <row r="76" spans="1:30" ht="18" customHeight="1" x14ac:dyDescent="0.25">
      <c r="A76" s="96"/>
      <c r="B76" s="96"/>
      <c r="C76" s="96"/>
      <c r="D76" s="96"/>
      <c r="E76" s="96"/>
      <c r="F76" s="95" t="s">
        <v>13</v>
      </c>
      <c r="G76" s="25" t="s">
        <v>10</v>
      </c>
      <c r="H76" s="95" t="s">
        <v>12</v>
      </c>
      <c r="I76" s="95" t="s">
        <v>11</v>
      </c>
      <c r="J76" s="95" t="s">
        <v>95</v>
      </c>
      <c r="K76" s="25" t="s">
        <v>10</v>
      </c>
      <c r="L76" s="95" t="s">
        <v>9</v>
      </c>
      <c r="M76" s="95" t="s">
        <v>8</v>
      </c>
      <c r="N76" s="95" t="s">
        <v>7</v>
      </c>
      <c r="O76" s="95" t="s">
        <v>6</v>
      </c>
      <c r="P76" s="101" t="s">
        <v>5</v>
      </c>
      <c r="Q76" s="95" t="s">
        <v>4</v>
      </c>
      <c r="R76" s="96"/>
      <c r="S76" s="96"/>
    </row>
    <row r="77" spans="1:30" ht="21" customHeight="1" thickBot="1" x14ac:dyDescent="0.3">
      <c r="A77" s="97"/>
      <c r="B77" s="97"/>
      <c r="C77" s="97"/>
      <c r="D77" s="97"/>
      <c r="E77" s="96"/>
      <c r="F77" s="97"/>
      <c r="G77" s="35" t="s">
        <v>3</v>
      </c>
      <c r="H77" s="97"/>
      <c r="I77" s="97"/>
      <c r="J77" s="97"/>
      <c r="K77" s="35" t="s">
        <v>3</v>
      </c>
      <c r="L77" s="97"/>
      <c r="M77" s="97"/>
      <c r="N77" s="97"/>
      <c r="O77" s="97"/>
      <c r="P77" s="102"/>
      <c r="Q77" s="97"/>
      <c r="R77" s="97"/>
      <c r="S77" s="97"/>
    </row>
    <row r="78" spans="1:30" ht="54.95" customHeight="1" thickBot="1" x14ac:dyDescent="0.3">
      <c r="A78" s="3" t="s">
        <v>74</v>
      </c>
      <c r="B78" s="2" t="s">
        <v>84</v>
      </c>
      <c r="C78" s="2" t="s">
        <v>85</v>
      </c>
      <c r="D78" s="73" t="s">
        <v>214</v>
      </c>
      <c r="E78" s="3" t="s">
        <v>134</v>
      </c>
      <c r="F78" s="2" t="s">
        <v>75</v>
      </c>
      <c r="G78" s="2" t="s">
        <v>75</v>
      </c>
      <c r="H78" s="2" t="s">
        <v>97</v>
      </c>
      <c r="I78" s="2">
        <v>11512</v>
      </c>
      <c r="J78" s="2" t="s">
        <v>101</v>
      </c>
      <c r="K78" s="2" t="s">
        <v>1</v>
      </c>
      <c r="L78" s="2" t="s">
        <v>89</v>
      </c>
      <c r="M78" s="2" t="s">
        <v>98</v>
      </c>
      <c r="N78" s="36" t="s">
        <v>0</v>
      </c>
      <c r="O78" s="36" t="s">
        <v>94</v>
      </c>
      <c r="P78" s="37" t="str">
        <f t="shared" si="3"/>
        <v>Baixo</v>
      </c>
      <c r="Q78" s="36">
        <v>0</v>
      </c>
      <c r="R78" s="36" t="str">
        <f t="shared" si="4"/>
        <v>Nenhum controle adicional é necessário. Manter o controle existente. (P1)</v>
      </c>
      <c r="S78" s="36" t="str">
        <f>IFERROR(VLOOKUP(AD78,MATRIZ!A:E,5,0),"")</f>
        <v>Monitoramento periódico não necessário.</v>
      </c>
      <c r="AA78">
        <f>IFERROR(VLOOKUP(N78,MATRIZ!H:I,2,0),"")</f>
        <v>2</v>
      </c>
      <c r="AB78">
        <f>IFERROR(VLOOKUP(O78,MATRIZ!K:L,2,0),"")</f>
        <v>2</v>
      </c>
      <c r="AD78" t="str">
        <f t="shared" si="1"/>
        <v>22</v>
      </c>
    </row>
    <row r="79" spans="1:30" ht="84.75" customHeight="1" thickBot="1" x14ac:dyDescent="0.3">
      <c r="A79" s="54" t="s">
        <v>179</v>
      </c>
      <c r="B79" s="59" t="s">
        <v>180</v>
      </c>
      <c r="C79" s="59" t="s">
        <v>181</v>
      </c>
      <c r="D79" s="59" t="s">
        <v>187</v>
      </c>
      <c r="E79" s="59" t="s">
        <v>236</v>
      </c>
      <c r="F79" s="59" t="s">
        <v>75</v>
      </c>
      <c r="G79" s="59" t="s">
        <v>75</v>
      </c>
      <c r="H79" s="59" t="s">
        <v>75</v>
      </c>
      <c r="I79" s="59" t="s">
        <v>75</v>
      </c>
      <c r="J79" s="59" t="s">
        <v>75</v>
      </c>
      <c r="K79" s="59" t="s">
        <v>75</v>
      </c>
      <c r="L79" s="59" t="s">
        <v>183</v>
      </c>
      <c r="M79" s="59" t="s">
        <v>182</v>
      </c>
      <c r="N79" s="60" t="s">
        <v>136</v>
      </c>
      <c r="O79" s="60" t="s">
        <v>94</v>
      </c>
      <c r="P79" s="61" t="str">
        <f>IF(AND(AA79=1,AB79=1),"Irrelevante",IF(AND(AA79=3,AB79=1),"Baixo",IF(AND(AA79=1,AB79=2),"Baixo",IF(AND(AA79=1,AB79=3),"Baixo",IF(AND(AA79=2,AB79=2),"Baixo",IF(AND(AA79=4,AB79=2),"Alto",IF(AND(AA79=3,AB79=3),"Alto",IF(AND(AA79=3,AB79=4),"Alto",IF(AND(AA79=2,AB79=4),"Alto",IF(AND(AA79=4,AB79=4),"Crítico",IF(AND(AA79=4,AB79=3),"Alto",IF(AND(AA79=3,AB79=2),"Médio",IF(AND(AA79=1,AB79=4),"Médio",IF(AND(AA79=4,AB79=1),"Médio",IF(AND(AA79=2,AB79=3),"Médio",IF(AND(AA79=2,AB79=1),"Baixo",""))))))))))))))))</f>
        <v>Médio</v>
      </c>
      <c r="Q79" s="60">
        <v>2</v>
      </c>
      <c r="R79" s="62" t="str">
        <f>IF(AND(P79="Irrelevante",Q79=0),"Nenhuma ação é necessária",IF(AND(P79="Irrelevante",Q79=1),"Nenhuma informação adicional é necessária.",IF(AND(P79="Irrelevante",Q79=2),"Nenhuma informação adicional é necessária.",IF(AND(P79="Médio",Q79=0),"Manter o controle existente. (P1) Controle adicional necessário se for possível e viável. (P2)",IF(AND(P79="Médio",Q79=2),"Informação adicional necessária (P1) antes de se decidir se há necessidade de controle adicional.",IF(AND(P79="Alto",Q79=0),"Controle necessário (P1)",IF(AND(P79="Alto",Q79=1),"Controle necessário (P1) Informação adicional necessária (P2)",IF(AND(P79="Alto",Q79=2),"Controle necessário (P1) Informação adicional necessária (P1)",IF(AND(P79="Crítico",Q79=0),"Controle necessário (P1)",IF(AND(P79="Crítico",Q79=2),"Controle necessário (P1) Informação adicional necessária (P1)",IF(AND(P79="Baixo",Q79=1),"Informação adicional necessária (P2)",IF(AND(P79="Baixo",Q79=2),"Informação adicional necessária (P1)",IF(AND(P79="Crítico",Q79=1),"Controle necessário (P1) Informação adicional necessária (P1)",IF(AND(P79="Médio",Q79=1),"Informação adicional necessária (P2) antes de se decidir se há necessidade de controle adicional.",IF(AND(P79="Baixo",Q79=0),"Nenhum controle adicional é necessário. Manter o controle existente. (P1)","")))))))))))))))</f>
        <v>Informação adicional necessária (P1) antes de se decidir se há necessidade de controle adicional.</v>
      </c>
      <c r="S79" s="62" t="str">
        <f>IFERROR(VLOOKUP(AD79,MATRIZ!A:E,5,0),"")</f>
        <v>Anual (P2)</v>
      </c>
      <c r="AA79">
        <f>IFERROR(VLOOKUP(N79,MATRIZ!H:I,2,0),"")</f>
        <v>3</v>
      </c>
      <c r="AB79">
        <f>IFERROR(VLOOKUP(O79,MATRIZ!K:L,2,0),"")</f>
        <v>2</v>
      </c>
      <c r="AD79" t="str">
        <f t="shared" si="1"/>
        <v>32</v>
      </c>
    </row>
    <row r="80" spans="1:30" ht="68.25" customHeight="1" thickBot="1" x14ac:dyDescent="0.3">
      <c r="A80" s="3" t="s">
        <v>149</v>
      </c>
      <c r="B80" s="59" t="s">
        <v>185</v>
      </c>
      <c r="C80" s="59" t="s">
        <v>186</v>
      </c>
      <c r="D80" s="59" t="s">
        <v>75</v>
      </c>
      <c r="E80" s="59" t="s">
        <v>234</v>
      </c>
      <c r="F80" s="59" t="s">
        <v>235</v>
      </c>
      <c r="G80" s="59" t="s">
        <v>75</v>
      </c>
      <c r="H80" s="59" t="s">
        <v>75</v>
      </c>
      <c r="I80" s="59" t="s">
        <v>75</v>
      </c>
      <c r="J80" s="59" t="s">
        <v>75</v>
      </c>
      <c r="K80" s="59" t="s">
        <v>75</v>
      </c>
      <c r="L80" s="59" t="s">
        <v>183</v>
      </c>
      <c r="M80" s="59" t="s">
        <v>182</v>
      </c>
      <c r="N80" s="41" t="s">
        <v>136</v>
      </c>
      <c r="O80" s="41" t="s">
        <v>94</v>
      </c>
      <c r="P80" s="74" t="str">
        <f>IF(AND(AA80=1,AB80=1),"Irrelevante",IF(AND(AA80=3,AB80=1),"Baixo",IF(AND(AA80=1,AB80=2),"Baixo",IF(AND(AA80=1,AB80=3),"Baixo",IF(AND(AA80=2,AB80=2),"Baixo",IF(AND(AA80=4,AB80=2),"Alto",IF(AND(AA80=3,AB80=3),"Alto",IF(AND(AA80=3,AB80=4),"Alto",IF(AND(AA80=2,AB80=4),"Alto",IF(AND(AA80=4,AB80=4),"Crítico",IF(AND(AA80=4,AB80=3),"Alto",IF(AND(AA80=3,AB80=2),"Médio",IF(AND(AA80=1,AB80=4),"Médio",IF(AND(AA80=4,AB80=1),"Médio",IF(AND(AA80=2,AB80=3),"Médio",IF(AND(AA80=2,AB80=1),"Baixo",""))))))))))))))))</f>
        <v>Médio</v>
      </c>
      <c r="Q80" s="41">
        <v>1</v>
      </c>
      <c r="R80" s="75" t="str">
        <f>IF(AND(P80="Irrelevante",Q80=0),"Nenhuma ação é necessária",IF(AND(P80="Irrelevante",Q80=1),"Nenhuma informação adicional é necessária.",IF(AND(P80="Irrelevante",Q80=2),"Nenhuma informação adicional é necessária.",IF(AND(P80="Médio",Q80=0),"Manter o controle existente. (P1) Controle adicional necessário se for possível e viável. (P2)",IF(AND(P80="Médio",Q80=2),"Informação adicional necessária (P1) antes de se decidir se há necessidade de controle adicional.",IF(AND(P80="Alto",Q80=0),"Controle necessário (P1)",IF(AND(P80="Alto",Q80=1),"Controle necessário (P1) Informação adicional necessária (P2)",IF(AND(P80="Alto",Q80=2),"Controle necessário (P1) Informação adicional necessária (P1)",IF(AND(P80="Crítico",Q80=0),"Controle necessário (P1)",IF(AND(P80="Crítico",Q80=2),"Controle necessário (P1) Informação adicional necessária (P1)",IF(AND(P80="Baixo",Q80=1),"Informação adicional necessária (P2)",IF(AND(P80="Baixo",Q80=2),"Informação adicional necessária (P1)",IF(AND(P80="Crítico",Q80=1),"Controle necessário (P1) Informação adicional necessária (P1)",IF(AND(P80="Médio",Q80=1),"Informação adicional necessária (P2) antes de se decidir se há necessidade de controle adicional.",IF(AND(P80="Baixo",Q80=0),"Nenhum controle adicional é necessário. Manter o controle existente. (P1)","")))))))))))))))</f>
        <v>Informação adicional necessária (P2) antes de se decidir se há necessidade de controle adicional.</v>
      </c>
      <c r="S80" s="75" t="str">
        <f>IFERROR(VLOOKUP(AD80,MATRIZ!A:E,5,0),"")</f>
        <v>Anual (P2)</v>
      </c>
      <c r="AA80">
        <f>IFERROR(VLOOKUP(N80,MATRIZ!H:I,2,0),"")</f>
        <v>3</v>
      </c>
      <c r="AB80">
        <f>IFERROR(VLOOKUP(O80,MATRIZ!K:L,2,0),"")</f>
        <v>2</v>
      </c>
      <c r="AD80" t="str">
        <f t="shared" si="1"/>
        <v>32</v>
      </c>
    </row>
    <row r="81" spans="1:30" ht="54.95" customHeight="1" thickBot="1" x14ac:dyDescent="0.3">
      <c r="A81" s="3" t="s">
        <v>103</v>
      </c>
      <c r="B81" s="2" t="s">
        <v>121</v>
      </c>
      <c r="C81" s="2" t="s">
        <v>137</v>
      </c>
      <c r="D81" s="73" t="s">
        <v>213</v>
      </c>
      <c r="E81" s="3" t="s">
        <v>237</v>
      </c>
      <c r="F81" s="2" t="s">
        <v>141</v>
      </c>
      <c r="G81" s="2" t="s">
        <v>1</v>
      </c>
      <c r="H81" s="2" t="s">
        <v>75</v>
      </c>
      <c r="I81" s="2" t="s">
        <v>75</v>
      </c>
      <c r="J81" s="2" t="s">
        <v>75</v>
      </c>
      <c r="K81" s="2" t="s">
        <v>75</v>
      </c>
      <c r="L81" s="2" t="s">
        <v>123</v>
      </c>
      <c r="M81" s="2" t="s">
        <v>98</v>
      </c>
      <c r="N81" s="36" t="s">
        <v>0</v>
      </c>
      <c r="O81" s="36" t="s">
        <v>94</v>
      </c>
      <c r="P81" s="37" t="str">
        <f t="shared" si="3"/>
        <v>Baixo</v>
      </c>
      <c r="Q81" s="36">
        <v>0</v>
      </c>
      <c r="R81" s="36" t="str">
        <f t="shared" si="4"/>
        <v>Nenhum controle adicional é necessário. Manter o controle existente. (P1)</v>
      </c>
      <c r="S81" s="36" t="str">
        <f>IFERROR(VLOOKUP(AD81,MATRIZ!A:E,5,0),"")</f>
        <v>Monitoramento periódico não necessário.</v>
      </c>
      <c r="AA81">
        <f>IFERROR(VLOOKUP(N81,MATRIZ!H:I,2,0),"")</f>
        <v>2</v>
      </c>
      <c r="AB81">
        <f>IFERROR(VLOOKUP(O81,MATRIZ!K:L,2,0),"")</f>
        <v>2</v>
      </c>
      <c r="AD81" t="str">
        <f t="shared" si="1"/>
        <v>22</v>
      </c>
    </row>
    <row r="82" spans="1:30" s="40" customFormat="1" ht="9.9499999999999993" customHeight="1" thickBot="1" x14ac:dyDescent="0.3">
      <c r="A82" s="117"/>
      <c r="B82" s="117"/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</row>
    <row r="83" spans="1:30" ht="15" customHeight="1" thickBot="1" x14ac:dyDescent="0.3">
      <c r="A83" s="56" t="s">
        <v>76</v>
      </c>
      <c r="B83" s="103" t="s">
        <v>139</v>
      </c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4"/>
    </row>
    <row r="84" spans="1:30" ht="12.75" customHeight="1" thickBot="1" x14ac:dyDescent="0.3">
      <c r="A84" s="57" t="s">
        <v>78</v>
      </c>
      <c r="B84" s="105" t="s">
        <v>210</v>
      </c>
      <c r="C84" s="106"/>
      <c r="D84" s="106"/>
      <c r="E84" s="106"/>
      <c r="F84" s="106"/>
      <c r="G84" s="106"/>
      <c r="H84" s="106"/>
      <c r="I84" s="107"/>
      <c r="J84" s="108" t="s">
        <v>79</v>
      </c>
      <c r="K84" s="109"/>
      <c r="L84" s="109"/>
      <c r="M84" s="105">
        <v>1</v>
      </c>
      <c r="N84" s="106"/>
      <c r="O84" s="107"/>
      <c r="P84" s="58" t="s">
        <v>80</v>
      </c>
      <c r="Q84" s="106" t="s">
        <v>81</v>
      </c>
      <c r="R84" s="109"/>
      <c r="S84" s="110"/>
    </row>
    <row r="85" spans="1:30" ht="12.75" customHeight="1" thickBot="1" x14ac:dyDescent="0.3">
      <c r="A85" s="111" t="s">
        <v>24</v>
      </c>
      <c r="B85" s="112"/>
      <c r="C85" s="112"/>
      <c r="D85" s="112"/>
      <c r="E85" s="113"/>
      <c r="F85" s="111" t="s">
        <v>170</v>
      </c>
      <c r="G85" s="112"/>
      <c r="H85" s="112"/>
      <c r="I85" s="112"/>
      <c r="J85" s="112"/>
      <c r="K85" s="112"/>
      <c r="L85" s="112"/>
      <c r="M85" s="112"/>
      <c r="N85" s="112"/>
      <c r="O85" s="112"/>
      <c r="P85" s="112"/>
      <c r="Q85" s="112"/>
      <c r="R85" s="112"/>
      <c r="S85" s="113"/>
    </row>
    <row r="86" spans="1:30" ht="45" customHeight="1" thickBot="1" x14ac:dyDescent="0.3">
      <c r="A86" s="114" t="s">
        <v>176</v>
      </c>
      <c r="B86" s="115"/>
      <c r="C86" s="115"/>
      <c r="D86" s="115"/>
      <c r="E86" s="116"/>
      <c r="F86" s="92" t="s">
        <v>173</v>
      </c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4"/>
    </row>
    <row r="87" spans="1:30" ht="25.5" customHeight="1" thickBot="1" x14ac:dyDescent="0.3">
      <c r="A87" s="95" t="s">
        <v>23</v>
      </c>
      <c r="B87" s="95" t="s">
        <v>22</v>
      </c>
      <c r="C87" s="95" t="s">
        <v>21</v>
      </c>
      <c r="D87" s="95" t="s">
        <v>20</v>
      </c>
      <c r="E87" s="95" t="s">
        <v>19</v>
      </c>
      <c r="F87" s="98" t="s">
        <v>18</v>
      </c>
      <c r="G87" s="99"/>
      <c r="H87" s="99"/>
      <c r="I87" s="99"/>
      <c r="J87" s="99"/>
      <c r="K87" s="100"/>
      <c r="L87" s="98" t="s">
        <v>17</v>
      </c>
      <c r="M87" s="100"/>
      <c r="N87" s="98" t="s">
        <v>16</v>
      </c>
      <c r="O87" s="99"/>
      <c r="P87" s="99"/>
      <c r="Q87" s="100"/>
      <c r="R87" s="95" t="s">
        <v>15</v>
      </c>
      <c r="S87" s="95" t="s">
        <v>14</v>
      </c>
    </row>
    <row r="88" spans="1:30" ht="18" customHeight="1" x14ac:dyDescent="0.25">
      <c r="A88" s="96"/>
      <c r="B88" s="96"/>
      <c r="C88" s="96"/>
      <c r="D88" s="96"/>
      <c r="E88" s="96"/>
      <c r="F88" s="95" t="s">
        <v>13</v>
      </c>
      <c r="G88" s="25" t="s">
        <v>10</v>
      </c>
      <c r="H88" s="95" t="s">
        <v>12</v>
      </c>
      <c r="I88" s="95" t="s">
        <v>11</v>
      </c>
      <c r="J88" s="95" t="s">
        <v>95</v>
      </c>
      <c r="K88" s="25" t="s">
        <v>10</v>
      </c>
      <c r="L88" s="95" t="s">
        <v>9</v>
      </c>
      <c r="M88" s="95" t="s">
        <v>8</v>
      </c>
      <c r="N88" s="95" t="s">
        <v>7</v>
      </c>
      <c r="O88" s="95" t="s">
        <v>6</v>
      </c>
      <c r="P88" s="101" t="s">
        <v>5</v>
      </c>
      <c r="Q88" s="95" t="s">
        <v>4</v>
      </c>
      <c r="R88" s="96"/>
      <c r="S88" s="96"/>
    </row>
    <row r="89" spans="1:30" ht="21" customHeight="1" thickBot="1" x14ac:dyDescent="0.3">
      <c r="A89" s="97"/>
      <c r="B89" s="97"/>
      <c r="C89" s="97"/>
      <c r="D89" s="97"/>
      <c r="E89" s="97"/>
      <c r="F89" s="97"/>
      <c r="G89" s="35" t="s">
        <v>3</v>
      </c>
      <c r="H89" s="97"/>
      <c r="I89" s="97"/>
      <c r="J89" s="97"/>
      <c r="K89" s="35" t="s">
        <v>3</v>
      </c>
      <c r="L89" s="97"/>
      <c r="M89" s="97"/>
      <c r="N89" s="97"/>
      <c r="O89" s="97"/>
      <c r="P89" s="102"/>
      <c r="Q89" s="97"/>
      <c r="R89" s="97"/>
      <c r="S89" s="97"/>
    </row>
    <row r="90" spans="1:30" ht="70.5" customHeight="1" thickBot="1" x14ac:dyDescent="0.3">
      <c r="A90" s="3" t="s">
        <v>74</v>
      </c>
      <c r="B90" s="2" t="s">
        <v>84</v>
      </c>
      <c r="C90" s="2" t="s">
        <v>85</v>
      </c>
      <c r="D90" s="2" t="s">
        <v>199</v>
      </c>
      <c r="E90" s="3" t="s">
        <v>143</v>
      </c>
      <c r="F90" s="2" t="s">
        <v>75</v>
      </c>
      <c r="G90" s="2" t="s">
        <v>75</v>
      </c>
      <c r="H90" s="2" t="s">
        <v>97</v>
      </c>
      <c r="I90" s="2">
        <v>11512</v>
      </c>
      <c r="J90" s="2" t="s">
        <v>101</v>
      </c>
      <c r="K90" s="2" t="s">
        <v>1</v>
      </c>
      <c r="L90" s="2" t="s">
        <v>144</v>
      </c>
      <c r="M90" s="2" t="s">
        <v>90</v>
      </c>
      <c r="N90" s="36" t="s">
        <v>136</v>
      </c>
      <c r="O90" s="36" t="s">
        <v>94</v>
      </c>
      <c r="P90" s="37" t="str">
        <f t="shared" si="3"/>
        <v>Médio</v>
      </c>
      <c r="Q90" s="36">
        <v>0</v>
      </c>
      <c r="R90" s="36" t="str">
        <f t="shared" si="4"/>
        <v>Manter o controle existente. (P1) Controle adicional necessário se for possível e viável. (P2)</v>
      </c>
      <c r="S90" s="36" t="str">
        <f>IFERROR(VLOOKUP(AD90,MATRIZ!A:E,5,0),"")</f>
        <v>Anual (P2)</v>
      </c>
      <c r="AA90">
        <f>IFERROR(VLOOKUP(N90,MATRIZ!H:I,2,0),"")</f>
        <v>3</v>
      </c>
      <c r="AB90">
        <f>IFERROR(VLOOKUP(O90,MATRIZ!K:L,2,0),"")</f>
        <v>2</v>
      </c>
      <c r="AD90" t="str">
        <f t="shared" si="1"/>
        <v>32</v>
      </c>
    </row>
    <row r="91" spans="1:30" ht="69" customHeight="1" thickBot="1" x14ac:dyDescent="0.3">
      <c r="A91" s="54" t="s">
        <v>179</v>
      </c>
      <c r="B91" s="59" t="s">
        <v>180</v>
      </c>
      <c r="C91" s="59" t="s">
        <v>181</v>
      </c>
      <c r="D91" s="59" t="s">
        <v>187</v>
      </c>
      <c r="E91" s="59" t="s">
        <v>227</v>
      </c>
      <c r="F91" s="59" t="s">
        <v>75</v>
      </c>
      <c r="G91" s="59" t="s">
        <v>75</v>
      </c>
      <c r="H91" s="59" t="s">
        <v>75</v>
      </c>
      <c r="I91" s="59" t="s">
        <v>75</v>
      </c>
      <c r="J91" s="59" t="s">
        <v>75</v>
      </c>
      <c r="K91" s="59" t="s">
        <v>75</v>
      </c>
      <c r="L91" s="59" t="s">
        <v>183</v>
      </c>
      <c r="M91" s="59" t="s">
        <v>182</v>
      </c>
      <c r="N91" s="41" t="s">
        <v>136</v>
      </c>
      <c r="O91" s="41" t="s">
        <v>94</v>
      </c>
      <c r="P91" s="74" t="str">
        <f>IF(AND(AA91=1,AB91=1),"Irrelevante",IF(AND(AA91=3,AB91=1),"Baixo",IF(AND(AA91=1,AB91=2),"Baixo",IF(AND(AA91=1,AB91=3),"Baixo",IF(AND(AA91=2,AB91=2),"Baixo",IF(AND(AA91=4,AB91=2),"Alto",IF(AND(AA91=3,AB91=3),"Alto",IF(AND(AA91=3,AB91=4),"Alto",IF(AND(AA91=2,AB91=4),"Alto",IF(AND(AA91=4,AB91=4),"Crítico",IF(AND(AA91=4,AB91=3),"Alto",IF(AND(AA91=3,AB91=2),"Médio",IF(AND(AA91=1,AB91=4),"Médio",IF(AND(AA91=4,AB91=1),"Médio",IF(AND(AA91=2,AB91=3),"Médio",IF(AND(AA91=2,AB91=1),"Baixo",""))))))))))))))))</f>
        <v>Médio</v>
      </c>
      <c r="Q91" s="41">
        <v>2</v>
      </c>
      <c r="R91" s="75" t="str">
        <f>IF(AND(P91="Irrelevante",Q91=0),"Nenhuma ação é necessária",IF(AND(P91="Irrelevante",Q91=1),"Nenhuma informação adicional é necessária.",IF(AND(P91="Irrelevante",Q91=2),"Nenhuma informação adicional é necessária.",IF(AND(P91="Médio",Q91=0),"Manter o controle existente. (P1) Controle adicional necessário se for possível e viável. (P2)",IF(AND(P91="Médio",Q91=2),"Informação adicional necessária (P1) antes de se decidir se há necessidade de controle adicional.",IF(AND(P91="Alto",Q91=0),"Controle necessário (P1)",IF(AND(P91="Alto",Q91=1),"Controle necessário (P1) Informação adicional necessária (P2)",IF(AND(P91="Alto",Q91=2),"Controle necessário (P1) Informação adicional necessária (P1)",IF(AND(P91="Crítico",Q91=0),"Controle necessário (P1)",IF(AND(P91="Crítico",Q91=2),"Controle necessário (P1) Informação adicional necessária (P1)",IF(AND(P91="Baixo",Q91=1),"Informação adicional necessária (P2)",IF(AND(P91="Baixo",Q91=2),"Informação adicional necessária (P1)",IF(AND(P91="Crítico",Q91=1),"Controle necessário (P1) Informação adicional necessária (P1)",IF(AND(P91="Médio",Q91=1),"Informação adicional necessária (P2) antes de se decidir se há necessidade de controle adicional.",IF(AND(P91="Baixo",Q91=0),"Nenhum controle adicional é necessário. Manter o controle existente. (P1)","")))))))))))))))</f>
        <v>Informação adicional necessária (P1) antes de se decidir se há necessidade de controle adicional.</v>
      </c>
      <c r="S91" s="75" t="str">
        <f>IFERROR(VLOOKUP(AD91,MATRIZ!A:E,5,0),"")</f>
        <v>Anual (P2)</v>
      </c>
      <c r="AA91">
        <f>IFERROR(VLOOKUP(N91,MATRIZ!H:I,2,0),"")</f>
        <v>3</v>
      </c>
      <c r="AB91">
        <f>IFERROR(VLOOKUP(O91,MATRIZ!K:L,2,0),"")</f>
        <v>2</v>
      </c>
      <c r="AD91" t="str">
        <f t="shared" ref="AD91:AD92" si="7">AA91&amp;AB91</f>
        <v>32</v>
      </c>
    </row>
    <row r="92" spans="1:30" ht="64.5" customHeight="1" thickBot="1" x14ac:dyDescent="0.3">
      <c r="A92" s="3" t="s">
        <v>149</v>
      </c>
      <c r="B92" s="59" t="s">
        <v>238</v>
      </c>
      <c r="C92" s="59" t="s">
        <v>240</v>
      </c>
      <c r="D92" s="59" t="s">
        <v>75</v>
      </c>
      <c r="E92" s="59" t="s">
        <v>239</v>
      </c>
      <c r="F92" s="59" t="s">
        <v>241</v>
      </c>
      <c r="G92" s="59" t="s">
        <v>75</v>
      </c>
      <c r="H92" s="59" t="s">
        <v>75</v>
      </c>
      <c r="I92" s="59" t="s">
        <v>75</v>
      </c>
      <c r="J92" s="59" t="s">
        <v>75</v>
      </c>
      <c r="K92" s="59" t="s">
        <v>75</v>
      </c>
      <c r="L92" s="59" t="s">
        <v>183</v>
      </c>
      <c r="M92" s="59" t="s">
        <v>182</v>
      </c>
      <c r="N92" s="41" t="s">
        <v>136</v>
      </c>
      <c r="O92" s="41" t="s">
        <v>242</v>
      </c>
      <c r="P92" s="74" t="str">
        <f>IF(AND(AA92=1,AB92=1),"Irrelevante",IF(AND(AA92=3,AB92=1),"Baixo",IF(AND(AA92=1,AB92=2),"Baixo",IF(AND(AA92=1,AB92=3),"Baixo",IF(AND(AA92=2,AB92=2),"Baixo",IF(AND(AA92=4,AB92=2),"Alto",IF(AND(AA92=3,AB92=3),"Alto",IF(AND(AA92=3,AB92=4),"Alto",IF(AND(AA92=2,AB92=4),"Alto",IF(AND(AA92=4,AB92=4),"Crítico",IF(AND(AA92=4,AB92=3),"Alto",IF(AND(AA92=3,AB92=2),"Médio",IF(AND(AA92=1,AB92=4),"Médio",IF(AND(AA92=4,AB92=1),"Médio",IF(AND(AA92=2,AB92=3),"Médio",IF(AND(AA92=2,AB92=1),"Baixo",""))))))))))))))))</f>
        <v>Alto</v>
      </c>
      <c r="Q92" s="41">
        <v>1</v>
      </c>
      <c r="R92" s="75" t="str">
        <f>IF(AND(P92="Irrelevante",Q92=0),"Nenhuma ação é necessária",IF(AND(P92="Irrelevante",Q92=1),"Nenhuma informação adicional é necessária.",IF(AND(P92="Irrelevante",Q92=2),"Nenhuma informação adicional é necessária.",IF(AND(P92="Médio",Q92=0),"Manter o controle existente. (P1) Controle adicional necessário se for possível e viável. (P2)",IF(AND(P92="Médio",Q92=2),"Informação adicional necessária (P1) antes de se decidir se há necessidade de controle adicional.",IF(AND(P92="Alto",Q92=0),"Controle necessário (P1)",IF(AND(P92="Alto",Q92=1),"Controle necessário (P1) Informação adicional necessária (P2)",IF(AND(P92="Alto",Q92=2),"Controle necessário (P1) Informação adicional necessária (P1)",IF(AND(P92="Crítico",Q92=0),"Controle necessário (P1)",IF(AND(P92="Crítico",Q92=2),"Controle necessário (P1) Informação adicional necessária (P1)",IF(AND(P92="Baixo",Q92=1),"Informação adicional necessária (P2)",IF(AND(P92="Baixo",Q92=2),"Informação adicional necessária (P1)",IF(AND(P92="Crítico",Q92=1),"Controle necessário (P1) Informação adicional necessária (P1)",IF(AND(P92="Médio",Q92=1),"Informação adicional necessária (P2) antes de se decidir se há necessidade de controle adicional.",IF(AND(P92="Baixo",Q92=0),"Nenhum controle adicional é necessário. Manter o controle existente. (P1)","")))))))))))))))</f>
        <v>Controle necessário (P1) Informação adicional necessária (P2)</v>
      </c>
      <c r="S92" s="75" t="str">
        <f>IFERROR(VLOOKUP(AD92,MATRIZ!A:E,5,0),"")</f>
        <v>Semestral (P1)</v>
      </c>
      <c r="AA92">
        <f>IFERROR(VLOOKUP(N92,MATRIZ!H:I,2,0),"")</f>
        <v>3</v>
      </c>
      <c r="AB92">
        <f>IFERROR(VLOOKUP(O92,MATRIZ!K:L,2,0),"")</f>
        <v>3</v>
      </c>
      <c r="AD92" t="str">
        <f t="shared" si="7"/>
        <v>33</v>
      </c>
    </row>
    <row r="93" spans="1:30" ht="66" customHeight="1" thickBot="1" x14ac:dyDescent="0.3">
      <c r="A93" s="55" t="s">
        <v>74</v>
      </c>
      <c r="B93" s="2" t="s">
        <v>145</v>
      </c>
      <c r="C93" s="2" t="s">
        <v>146</v>
      </c>
      <c r="D93" s="2" t="s">
        <v>212</v>
      </c>
      <c r="E93" s="3" t="s">
        <v>246</v>
      </c>
      <c r="F93" s="2" t="s">
        <v>75</v>
      </c>
      <c r="G93" s="2" t="s">
        <v>75</v>
      </c>
      <c r="H93" s="2" t="s">
        <v>75</v>
      </c>
      <c r="I93" s="2" t="s">
        <v>75</v>
      </c>
      <c r="J93" s="2" t="s">
        <v>75</v>
      </c>
      <c r="K93" s="2" t="s">
        <v>75</v>
      </c>
      <c r="L93" s="2" t="s">
        <v>147</v>
      </c>
      <c r="M93" s="2" t="s">
        <v>90</v>
      </c>
      <c r="N93" s="36" t="s">
        <v>136</v>
      </c>
      <c r="O93" s="36" t="s">
        <v>73</v>
      </c>
      <c r="P93" s="37" t="str">
        <f t="shared" si="3"/>
        <v>Baixo</v>
      </c>
      <c r="Q93" s="36">
        <v>0</v>
      </c>
      <c r="R93" s="36" t="str">
        <f t="shared" si="4"/>
        <v>Nenhum controle adicional é necessário. Manter o controle existente. (P1)</v>
      </c>
      <c r="S93" s="36" t="str">
        <f>IFERROR(VLOOKUP(AD93,MATRIZ!A:E,5,0),"")</f>
        <v>Anual (P2)</v>
      </c>
      <c r="AA93">
        <f>IFERROR(VLOOKUP(N93,MATRIZ!H:I,2,0),"")</f>
        <v>3</v>
      </c>
      <c r="AB93">
        <f>IFERROR(VLOOKUP(O93,MATRIZ!K:L,2,0),"")</f>
        <v>1</v>
      </c>
      <c r="AD93" t="str">
        <f t="shared" si="1"/>
        <v>31</v>
      </c>
    </row>
    <row r="94" spans="1:30" ht="54.95" customHeight="1" thickBot="1" x14ac:dyDescent="0.3">
      <c r="A94" s="3" t="s">
        <v>103</v>
      </c>
      <c r="B94" s="2" t="s">
        <v>121</v>
      </c>
      <c r="C94" s="2" t="s">
        <v>137</v>
      </c>
      <c r="D94" s="2" t="s">
        <v>211</v>
      </c>
      <c r="E94" s="55" t="s">
        <v>247</v>
      </c>
      <c r="F94" s="2" t="s">
        <v>141</v>
      </c>
      <c r="G94" s="2" t="s">
        <v>1</v>
      </c>
      <c r="H94" s="2" t="s">
        <v>75</v>
      </c>
      <c r="I94" s="2" t="s">
        <v>75</v>
      </c>
      <c r="J94" s="2" t="s">
        <v>75</v>
      </c>
      <c r="K94" s="2" t="s">
        <v>75</v>
      </c>
      <c r="L94" s="2" t="s">
        <v>123</v>
      </c>
      <c r="M94" s="2" t="s">
        <v>90</v>
      </c>
      <c r="N94" s="36" t="s">
        <v>0</v>
      </c>
      <c r="O94" s="36" t="s">
        <v>94</v>
      </c>
      <c r="P94" s="37" t="str">
        <f t="shared" si="3"/>
        <v>Baixo</v>
      </c>
      <c r="Q94" s="36">
        <v>0</v>
      </c>
      <c r="R94" s="36" t="str">
        <f t="shared" si="4"/>
        <v>Nenhum controle adicional é necessário. Manter o controle existente. (P1)</v>
      </c>
      <c r="S94" s="36" t="str">
        <f>IFERROR(VLOOKUP(AD94,MATRIZ!A:E,5,0),"")</f>
        <v>Monitoramento periódico não necessário.</v>
      </c>
      <c r="AA94">
        <f>IFERROR(VLOOKUP(N94,MATRIZ!H:I,2,0),"")</f>
        <v>2</v>
      </c>
      <c r="AB94">
        <f>IFERROR(VLOOKUP(O94,MATRIZ!K:L,2,0),"")</f>
        <v>2</v>
      </c>
      <c r="AD94" t="str">
        <f t="shared" si="1"/>
        <v>22</v>
      </c>
    </row>
    <row r="95" spans="1:30" s="40" customFormat="1" ht="9.9499999999999993" customHeight="1" thickBot="1" x14ac:dyDescent="0.3">
      <c r="A95" s="117"/>
      <c r="B95" s="117"/>
      <c r="C95" s="117"/>
      <c r="D95" s="117"/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7"/>
      <c r="R95" s="117"/>
      <c r="S95" s="117"/>
    </row>
    <row r="96" spans="1:30" ht="15" customHeight="1" thickBot="1" x14ac:dyDescent="0.3">
      <c r="A96" s="56" t="s">
        <v>76</v>
      </c>
      <c r="B96" s="103" t="s">
        <v>142</v>
      </c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4"/>
    </row>
    <row r="97" spans="1:30" ht="12.75" customHeight="1" thickBot="1" x14ac:dyDescent="0.3">
      <c r="A97" s="57" t="s">
        <v>78</v>
      </c>
      <c r="B97" s="105" t="s">
        <v>148</v>
      </c>
      <c r="C97" s="106"/>
      <c r="D97" s="106"/>
      <c r="E97" s="106"/>
      <c r="F97" s="106"/>
      <c r="G97" s="106"/>
      <c r="H97" s="106"/>
      <c r="I97" s="107"/>
      <c r="J97" s="108" t="s">
        <v>79</v>
      </c>
      <c r="K97" s="109"/>
      <c r="L97" s="109"/>
      <c r="M97" s="105">
        <v>1</v>
      </c>
      <c r="N97" s="106"/>
      <c r="O97" s="107"/>
      <c r="P97" s="58" t="s">
        <v>80</v>
      </c>
      <c r="Q97" s="106" t="s">
        <v>81</v>
      </c>
      <c r="R97" s="109"/>
      <c r="S97" s="110"/>
    </row>
    <row r="98" spans="1:30" ht="12.75" customHeight="1" thickBot="1" x14ac:dyDescent="0.3">
      <c r="A98" s="111" t="s">
        <v>24</v>
      </c>
      <c r="B98" s="112"/>
      <c r="C98" s="112"/>
      <c r="D98" s="112"/>
      <c r="E98" s="113"/>
      <c r="F98" s="111" t="s">
        <v>170</v>
      </c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3"/>
    </row>
    <row r="99" spans="1:30" ht="45" customHeight="1" thickBot="1" x14ac:dyDescent="0.3">
      <c r="A99" s="114" t="s">
        <v>177</v>
      </c>
      <c r="B99" s="115"/>
      <c r="C99" s="115"/>
      <c r="D99" s="115"/>
      <c r="E99" s="116"/>
      <c r="F99" s="92" t="s">
        <v>178</v>
      </c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4"/>
    </row>
    <row r="100" spans="1:30" ht="25.5" customHeight="1" thickBot="1" x14ac:dyDescent="0.3">
      <c r="A100" s="95" t="s">
        <v>23</v>
      </c>
      <c r="B100" s="95" t="s">
        <v>22</v>
      </c>
      <c r="C100" s="95" t="s">
        <v>21</v>
      </c>
      <c r="D100" s="95" t="s">
        <v>20</v>
      </c>
      <c r="E100" s="95" t="s">
        <v>19</v>
      </c>
      <c r="F100" s="98" t="s">
        <v>18</v>
      </c>
      <c r="G100" s="99"/>
      <c r="H100" s="99"/>
      <c r="I100" s="99"/>
      <c r="J100" s="99"/>
      <c r="K100" s="100"/>
      <c r="L100" s="98" t="s">
        <v>17</v>
      </c>
      <c r="M100" s="100"/>
      <c r="N100" s="98" t="s">
        <v>16</v>
      </c>
      <c r="O100" s="99"/>
      <c r="P100" s="99"/>
      <c r="Q100" s="100"/>
      <c r="R100" s="95" t="s">
        <v>15</v>
      </c>
      <c r="S100" s="95" t="s">
        <v>14</v>
      </c>
    </row>
    <row r="101" spans="1:30" ht="18" customHeight="1" x14ac:dyDescent="0.25">
      <c r="A101" s="96"/>
      <c r="B101" s="96"/>
      <c r="C101" s="96"/>
      <c r="D101" s="96"/>
      <c r="E101" s="96"/>
      <c r="F101" s="95" t="s">
        <v>13</v>
      </c>
      <c r="G101" s="25" t="s">
        <v>10</v>
      </c>
      <c r="H101" s="95" t="s">
        <v>12</v>
      </c>
      <c r="I101" s="95" t="s">
        <v>11</v>
      </c>
      <c r="J101" s="95" t="s">
        <v>95</v>
      </c>
      <c r="K101" s="25" t="s">
        <v>10</v>
      </c>
      <c r="L101" s="95" t="s">
        <v>9</v>
      </c>
      <c r="M101" s="95" t="s">
        <v>8</v>
      </c>
      <c r="N101" s="95" t="s">
        <v>7</v>
      </c>
      <c r="O101" s="95" t="s">
        <v>6</v>
      </c>
      <c r="P101" s="101" t="s">
        <v>5</v>
      </c>
      <c r="Q101" s="95" t="s">
        <v>4</v>
      </c>
      <c r="R101" s="96"/>
      <c r="S101" s="96"/>
    </row>
    <row r="102" spans="1:30" ht="21" customHeight="1" thickBot="1" x14ac:dyDescent="0.3">
      <c r="A102" s="97"/>
      <c r="B102" s="97"/>
      <c r="C102" s="97"/>
      <c r="D102" s="97"/>
      <c r="E102" s="97"/>
      <c r="F102" s="97"/>
      <c r="G102" s="35" t="s">
        <v>3</v>
      </c>
      <c r="H102" s="97"/>
      <c r="I102" s="97"/>
      <c r="J102" s="97"/>
      <c r="K102" s="35" t="s">
        <v>3</v>
      </c>
      <c r="L102" s="97"/>
      <c r="M102" s="97"/>
      <c r="N102" s="97"/>
      <c r="O102" s="97"/>
      <c r="P102" s="102"/>
      <c r="Q102" s="97"/>
      <c r="R102" s="97"/>
      <c r="S102" s="97"/>
    </row>
    <row r="103" spans="1:30" ht="89.25" customHeight="1" thickBot="1" x14ac:dyDescent="0.3">
      <c r="A103" s="3" t="s">
        <v>149</v>
      </c>
      <c r="B103" s="2" t="s">
        <v>150</v>
      </c>
      <c r="C103" s="2" t="s">
        <v>151</v>
      </c>
      <c r="D103" s="2" t="s">
        <v>75</v>
      </c>
      <c r="E103" s="54" t="s">
        <v>152</v>
      </c>
      <c r="F103" s="2" t="s">
        <v>244</v>
      </c>
      <c r="G103" s="2" t="s">
        <v>1</v>
      </c>
      <c r="H103" s="2" t="s">
        <v>153</v>
      </c>
      <c r="I103" s="2">
        <v>17698</v>
      </c>
      <c r="J103" s="2" t="s">
        <v>75</v>
      </c>
      <c r="K103" s="2" t="s">
        <v>1</v>
      </c>
      <c r="L103" s="2" t="s">
        <v>75</v>
      </c>
      <c r="M103" s="2" t="s">
        <v>75</v>
      </c>
      <c r="N103" s="36" t="s">
        <v>70</v>
      </c>
      <c r="O103" s="36" t="s">
        <v>243</v>
      </c>
      <c r="P103" s="37" t="str">
        <f t="shared" si="3"/>
        <v>Crítico</v>
      </c>
      <c r="Q103" s="36">
        <v>1</v>
      </c>
      <c r="R103" s="36" t="str">
        <f t="shared" si="4"/>
        <v>Controle necessário (P1) Informação adicional necessária (P1)</v>
      </c>
      <c r="S103" s="36" t="str">
        <f>IFERROR(VLOOKUP(AD103,MATRIZ!A:E,5,0),"")</f>
        <v>Monitorar após adotar medidas de controle (P1)</v>
      </c>
      <c r="AA103">
        <f>IFERROR(VLOOKUP(N103,MATRIZ!H:I,2,0),"")</f>
        <v>4</v>
      </c>
      <c r="AB103">
        <f>IFERROR(VLOOKUP(O103,MATRIZ!K:L,2,0),"")</f>
        <v>4</v>
      </c>
      <c r="AD103" t="str">
        <f t="shared" si="1"/>
        <v>44</v>
      </c>
    </row>
    <row r="104" spans="1:30" ht="78" customHeight="1" thickBot="1" x14ac:dyDescent="0.3">
      <c r="A104" s="54" t="s">
        <v>179</v>
      </c>
      <c r="B104" s="59" t="s">
        <v>180</v>
      </c>
      <c r="C104" s="59" t="s">
        <v>181</v>
      </c>
      <c r="D104" s="59" t="s">
        <v>187</v>
      </c>
      <c r="E104" s="3" t="s">
        <v>227</v>
      </c>
      <c r="F104" s="59" t="s">
        <v>75</v>
      </c>
      <c r="G104" s="59" t="s">
        <v>75</v>
      </c>
      <c r="H104" s="59" t="s">
        <v>75</v>
      </c>
      <c r="I104" s="59" t="s">
        <v>75</v>
      </c>
      <c r="J104" s="59" t="s">
        <v>75</v>
      </c>
      <c r="K104" s="59" t="s">
        <v>75</v>
      </c>
      <c r="L104" s="59" t="s">
        <v>183</v>
      </c>
      <c r="M104" s="59" t="s">
        <v>182</v>
      </c>
      <c r="N104" s="41" t="s">
        <v>136</v>
      </c>
      <c r="O104" s="41" t="s">
        <v>94</v>
      </c>
      <c r="P104" s="74" t="str">
        <f>IF(AND(AA104=1,AB104=1),"Irrelevante",IF(AND(AA104=3,AB104=1),"Baixo",IF(AND(AA104=1,AB104=2),"Baixo",IF(AND(AA104=1,AB104=3),"Baixo",IF(AND(AA104=2,AB104=2),"Baixo",IF(AND(AA104=4,AB104=2),"Alto",IF(AND(AA104=3,AB104=3),"Alto",IF(AND(AA104=3,AB104=4),"Alto",IF(AND(AA104=2,AB104=4),"Alto",IF(AND(AA104=4,AB104=4),"Crítico",IF(AND(AA104=4,AB104=3),"Alto",IF(AND(AA104=3,AB104=2),"Médio",IF(AND(AA104=1,AB104=4),"Médio",IF(AND(AA104=4,AB104=1),"Médio",IF(AND(AA104=2,AB104=3),"Médio",IF(AND(AA104=2,AB104=1),"Baixo",""))))))))))))))))</f>
        <v>Médio</v>
      </c>
      <c r="Q104" s="41">
        <v>2</v>
      </c>
      <c r="R104" s="75" t="str">
        <f>IF(AND(P104="Irrelevante",Q104=0),"Nenhuma ação é necessária",IF(AND(P104="Irrelevante",Q104=1),"Nenhuma informação adicional é necessária.",IF(AND(P104="Irrelevante",Q104=2),"Nenhuma informação adicional é necessária.",IF(AND(P104="Médio",Q104=0),"Manter o controle existente. (P1) Controle adicional necessário se for possível e viável. (P2)",IF(AND(P104="Médio",Q104=2),"Informação adicional necessária (P1) antes de se decidir se há necessidade de controle adicional.",IF(AND(P104="Alto",Q104=0),"Controle necessário (P1)",IF(AND(P104="Alto",Q104=1),"Controle necessário (P1) Informação adicional necessária (P2)",IF(AND(P104="Alto",Q104=2),"Controle necessário (P1) Informação adicional necessária (P1)",IF(AND(P104="Crítico",Q104=0),"Controle necessário (P1)",IF(AND(P104="Crítico",Q104=2),"Controle necessário (P1) Informação adicional necessária (P1)",IF(AND(P104="Baixo",Q104=1),"Informação adicional necessária (P2)",IF(AND(P104="Baixo",Q104=2),"Informação adicional necessária (P1)",IF(AND(P104="Crítico",Q104=1),"Controle necessário (P1) Informação adicional necessária (P1)",IF(AND(P104="Médio",Q104=1),"Informação adicional necessária (P2) antes de se decidir se há necessidade de controle adicional.",IF(AND(P104="Baixo",Q104=0),"Nenhum controle adicional é necessário. Manter o controle existente. (P1)","")))))))))))))))</f>
        <v>Informação adicional necessária (P1) antes de se decidir se há necessidade de controle adicional.</v>
      </c>
      <c r="S104" s="75" t="str">
        <f>IFERROR(VLOOKUP(AD104,MATRIZ!A:E,5,0),"")</f>
        <v>Anual (P2)</v>
      </c>
      <c r="AA104">
        <f>IFERROR(VLOOKUP(N104,MATRIZ!H:I,2,0),"")</f>
        <v>3</v>
      </c>
      <c r="AB104">
        <f>IFERROR(VLOOKUP(O104,MATRIZ!K:L,2,0),"")</f>
        <v>2</v>
      </c>
      <c r="AD104" t="str">
        <f t="shared" ref="AD104" si="8">AA104&amp;AB104</f>
        <v>32</v>
      </c>
    </row>
    <row r="105" spans="1:30" ht="69.75" customHeight="1" thickBot="1" x14ac:dyDescent="0.3">
      <c r="A105" s="3" t="s">
        <v>74</v>
      </c>
      <c r="B105" s="2" t="s">
        <v>84</v>
      </c>
      <c r="C105" s="2" t="s">
        <v>85</v>
      </c>
      <c r="D105" s="2" t="s">
        <v>86</v>
      </c>
      <c r="E105" s="55" t="s">
        <v>245</v>
      </c>
      <c r="F105" s="2" t="s">
        <v>75</v>
      </c>
      <c r="G105" s="2" t="s">
        <v>75</v>
      </c>
      <c r="H105" s="2" t="s">
        <v>97</v>
      </c>
      <c r="I105" s="2">
        <v>11512</v>
      </c>
      <c r="J105" s="2" t="s">
        <v>101</v>
      </c>
      <c r="K105" s="2" t="s">
        <v>1</v>
      </c>
      <c r="L105" s="2" t="s">
        <v>144</v>
      </c>
      <c r="M105" s="2" t="s">
        <v>90</v>
      </c>
      <c r="N105" s="36" t="s">
        <v>136</v>
      </c>
      <c r="O105" s="36" t="s">
        <v>94</v>
      </c>
      <c r="P105" s="37" t="str">
        <f t="shared" ref="P105" si="9">IF(AND(AA105=1,AB105=1),"Irrelevante",IF(AND(AA105=3,AB105=1),"Baixo",IF(AND(AA105=1,AB105=2),"Baixo",IF(AND(AA105=1,AB105=3),"Baixo",IF(AND(AA105=2,AB105=2),"Baixo",IF(AND(AA105=4,AB105=2),"Alto",IF(AND(AA105=3,AB105=3),"Alto",IF(AND(AA105=3,AB105=4),"Alto",IF(AND(AA105=2,AB105=4),"Alto",IF(AND(AA105=4,AB105=4),"Crítico",IF(AND(AA105=4,AB105=3),"Alto",IF(AND(AA105=3,AB105=2),"Médio",IF(AND(AA105=1,AB105=4),"Médio",IF(AND(AA105=4,AB105=1),"Médio",IF(AND(AA105=2,AB105=3),"Médio",IF(AND(AA105=2,AB105=1),"Baixo",""))))))))))))))))</f>
        <v>Médio</v>
      </c>
      <c r="Q105" s="36">
        <v>0</v>
      </c>
      <c r="R105" s="36" t="str">
        <f t="shared" ref="R105" si="10">IF(AND(P105="Irrelevante",Q105=0),"Nenhuma ação é necessária",IF(AND(P105="Irrelevante",Q105=1),"Nenhuma informação adicional é necessária.",IF(AND(P105="Irrelevante",Q105=2),"Nenhuma informação adicional é necessária.",IF(AND(P105="Médio",Q105=0),"Manter o controle existente. (P1) Controle adicional necessário se for possível e viável. (P2)",IF(AND(P105="Médio",Q105=2),"Informação adicional necessária (P1) antes de se decidir se há necessidade de controle adicional.",IF(AND(P105="Alto",Q105=0),"Controle necessário (P1)",IF(AND(P105="Alto",Q105=1),"Controle necessário (P1) Informação adicional necessária (P2)",IF(AND(P105="Alto",Q105=2),"Controle necessário (P1) Informação adicional necessária (P1)",IF(AND(P105="Crítico",Q105=0),"Controle necessário (P1)",IF(AND(P105="Crítico",Q105=2),"Controle necessário (P1) Informação adicional necessária (P1)",IF(AND(P105="Baixo",Q105=1),"Informação adicional necessária (P2)",IF(AND(P105="Baixo",Q105=2),"Informação adicional necessária (P1)",IF(AND(P105="Crítico",Q105=1),"Controle necessário (P1) Informação adicional necessária (P1)",IF(AND(P105="Médio",Q105=1),"Informação adicional necessária (P2) antes de se decidir se há necessidade de controle adicional.",IF(AND(P105="Baixo",Q105=0),"Nenhum controle adicional é necessário. Manter o controle existente. (P1)","")))))))))))))))</f>
        <v>Manter o controle existente. (P1) Controle adicional necessário se for possível e viável. (P2)</v>
      </c>
      <c r="S105" s="36" t="str">
        <f>IFERROR(VLOOKUP(AD105,MATRIZ!A:E,5,0),"")</f>
        <v>Anual (P2)</v>
      </c>
      <c r="AA105">
        <f>IFERROR(VLOOKUP(N105,MATRIZ!H:I,2,0),"")</f>
        <v>3</v>
      </c>
      <c r="AB105">
        <f>IFERROR(VLOOKUP(O105,MATRIZ!K:L,2,0),"")</f>
        <v>2</v>
      </c>
      <c r="AD105" t="str">
        <f t="shared" ref="AD105" si="11">AA105&amp;AB105</f>
        <v>32</v>
      </c>
    </row>
  </sheetData>
  <mergeCells count="263">
    <mergeCell ref="A98:E98"/>
    <mergeCell ref="F98:S98"/>
    <mergeCell ref="A99:E99"/>
    <mergeCell ref="F99:S99"/>
    <mergeCell ref="A100:A102"/>
    <mergeCell ref="B100:B102"/>
    <mergeCell ref="C100:C102"/>
    <mergeCell ref="D100:D102"/>
    <mergeCell ref="E100:E102"/>
    <mergeCell ref="F100:K100"/>
    <mergeCell ref="L100:M100"/>
    <mergeCell ref="N100:Q100"/>
    <mergeCell ref="R100:R102"/>
    <mergeCell ref="S100:S102"/>
    <mergeCell ref="F101:F102"/>
    <mergeCell ref="H101:H102"/>
    <mergeCell ref="O101:O102"/>
    <mergeCell ref="P101:P102"/>
    <mergeCell ref="Q101:Q102"/>
    <mergeCell ref="I101:I102"/>
    <mergeCell ref="J101:J102"/>
    <mergeCell ref="L101:L102"/>
    <mergeCell ref="M101:M102"/>
    <mergeCell ref="N101:N102"/>
    <mergeCell ref="A95:S95"/>
    <mergeCell ref="B96:S96"/>
    <mergeCell ref="B97:I97"/>
    <mergeCell ref="J97:L97"/>
    <mergeCell ref="M97:O97"/>
    <mergeCell ref="Q97:S97"/>
    <mergeCell ref="O88:O89"/>
    <mergeCell ref="P88:P89"/>
    <mergeCell ref="Q88:Q89"/>
    <mergeCell ref="I88:I89"/>
    <mergeCell ref="J88:J89"/>
    <mergeCell ref="L88:L89"/>
    <mergeCell ref="M88:M89"/>
    <mergeCell ref="N88:N89"/>
    <mergeCell ref="A85:E85"/>
    <mergeCell ref="F85:S85"/>
    <mergeCell ref="A86:E86"/>
    <mergeCell ref="F86:S86"/>
    <mergeCell ref="A87:A89"/>
    <mergeCell ref="B87:B89"/>
    <mergeCell ref="C87:C89"/>
    <mergeCell ref="D87:D89"/>
    <mergeCell ref="E87:E89"/>
    <mergeCell ref="F87:K87"/>
    <mergeCell ref="L87:M87"/>
    <mergeCell ref="N87:Q87"/>
    <mergeCell ref="R87:R89"/>
    <mergeCell ref="S87:S89"/>
    <mergeCell ref="F88:F89"/>
    <mergeCell ref="H88:H89"/>
    <mergeCell ref="A82:S82"/>
    <mergeCell ref="B83:S83"/>
    <mergeCell ref="B84:I84"/>
    <mergeCell ref="J84:L84"/>
    <mergeCell ref="M84:O84"/>
    <mergeCell ref="Q84:S84"/>
    <mergeCell ref="O76:O77"/>
    <mergeCell ref="P76:P77"/>
    <mergeCell ref="Q76:Q77"/>
    <mergeCell ref="I76:I77"/>
    <mergeCell ref="J76:J77"/>
    <mergeCell ref="L76:L77"/>
    <mergeCell ref="M76:M77"/>
    <mergeCell ref="N76:N77"/>
    <mergeCell ref="A73:E73"/>
    <mergeCell ref="F73:S73"/>
    <mergeCell ref="A74:E74"/>
    <mergeCell ref="F74:S74"/>
    <mergeCell ref="A75:A77"/>
    <mergeCell ref="B75:B77"/>
    <mergeCell ref="C75:C77"/>
    <mergeCell ref="D75:D77"/>
    <mergeCell ref="E75:E77"/>
    <mergeCell ref="F75:K75"/>
    <mergeCell ref="L75:M75"/>
    <mergeCell ref="N75:Q75"/>
    <mergeCell ref="R75:R77"/>
    <mergeCell ref="S75:S77"/>
    <mergeCell ref="F76:F77"/>
    <mergeCell ref="H76:H77"/>
    <mergeCell ref="A70:S70"/>
    <mergeCell ref="B71:S71"/>
    <mergeCell ref="B72:I72"/>
    <mergeCell ref="J72:L72"/>
    <mergeCell ref="M72:O72"/>
    <mergeCell ref="Q72:S72"/>
    <mergeCell ref="O63:O64"/>
    <mergeCell ref="P63:P64"/>
    <mergeCell ref="Q63:Q64"/>
    <mergeCell ref="E68:E69"/>
    <mergeCell ref="I63:I64"/>
    <mergeCell ref="J63:J64"/>
    <mergeCell ref="L63:L64"/>
    <mergeCell ref="M63:M64"/>
    <mergeCell ref="N63:N64"/>
    <mergeCell ref="A60:E60"/>
    <mergeCell ref="F60:S60"/>
    <mergeCell ref="A61:E61"/>
    <mergeCell ref="F61:S61"/>
    <mergeCell ref="A62:A64"/>
    <mergeCell ref="B62:B64"/>
    <mergeCell ref="C62:C64"/>
    <mergeCell ref="D62:D64"/>
    <mergeCell ref="E62:E64"/>
    <mergeCell ref="F62:K62"/>
    <mergeCell ref="L62:M62"/>
    <mergeCell ref="N62:Q62"/>
    <mergeCell ref="R62:R64"/>
    <mergeCell ref="S62:S64"/>
    <mergeCell ref="F63:F64"/>
    <mergeCell ref="H63:H64"/>
    <mergeCell ref="A57:S57"/>
    <mergeCell ref="B58:S58"/>
    <mergeCell ref="B59:I59"/>
    <mergeCell ref="J59:L59"/>
    <mergeCell ref="M59:O59"/>
    <mergeCell ref="Q59:S59"/>
    <mergeCell ref="O47:O48"/>
    <mergeCell ref="P47:P48"/>
    <mergeCell ref="Q47:Q48"/>
    <mergeCell ref="A53:A56"/>
    <mergeCell ref="C53:C56"/>
    <mergeCell ref="E53:E56"/>
    <mergeCell ref="H53:H55"/>
    <mergeCell ref="I53:I55"/>
    <mergeCell ref="J53:J55"/>
    <mergeCell ref="K53:K55"/>
    <mergeCell ref="I47:I48"/>
    <mergeCell ref="J47:J48"/>
    <mergeCell ref="L47:L48"/>
    <mergeCell ref="M47:M48"/>
    <mergeCell ref="N47:N48"/>
    <mergeCell ref="A44:E44"/>
    <mergeCell ref="F44:S44"/>
    <mergeCell ref="A45:E45"/>
    <mergeCell ref="F45:S45"/>
    <mergeCell ref="A46:A48"/>
    <mergeCell ref="B46:B48"/>
    <mergeCell ref="C46:C48"/>
    <mergeCell ref="D46:D48"/>
    <mergeCell ref="E46:E48"/>
    <mergeCell ref="F46:K46"/>
    <mergeCell ref="L46:M46"/>
    <mergeCell ref="N46:Q46"/>
    <mergeCell ref="R46:R48"/>
    <mergeCell ref="S46:S48"/>
    <mergeCell ref="F47:F48"/>
    <mergeCell ref="H47:H48"/>
    <mergeCell ref="A41:S41"/>
    <mergeCell ref="B42:S42"/>
    <mergeCell ref="B43:I43"/>
    <mergeCell ref="J43:L43"/>
    <mergeCell ref="M43:O43"/>
    <mergeCell ref="Q43:S43"/>
    <mergeCell ref="O32:O33"/>
    <mergeCell ref="P32:P33"/>
    <mergeCell ref="Q32:Q33"/>
    <mergeCell ref="A38:A40"/>
    <mergeCell ref="C38:C40"/>
    <mergeCell ref="E38:E40"/>
    <mergeCell ref="F38:F40"/>
    <mergeCell ref="G38:G40"/>
    <mergeCell ref="I38:I40"/>
    <mergeCell ref="J38:J40"/>
    <mergeCell ref="K38:K40"/>
    <mergeCell ref="M39:M40"/>
    <mergeCell ref="I32:I33"/>
    <mergeCell ref="J32:J33"/>
    <mergeCell ref="L32:L33"/>
    <mergeCell ref="M32:M33"/>
    <mergeCell ref="N32:N33"/>
    <mergeCell ref="B28:I28"/>
    <mergeCell ref="J28:L28"/>
    <mergeCell ref="M28:O28"/>
    <mergeCell ref="Q28:S28"/>
    <mergeCell ref="A29:E29"/>
    <mergeCell ref="F29:S29"/>
    <mergeCell ref="A30:E30"/>
    <mergeCell ref="F30:S30"/>
    <mergeCell ref="A31:A33"/>
    <mergeCell ref="B31:B33"/>
    <mergeCell ref="C31:C33"/>
    <mergeCell ref="D31:D33"/>
    <mergeCell ref="E31:E33"/>
    <mergeCell ref="F31:K31"/>
    <mergeCell ref="L31:M31"/>
    <mergeCell ref="N31:Q31"/>
    <mergeCell ref="R31:R33"/>
    <mergeCell ref="S31:S33"/>
    <mergeCell ref="F32:F33"/>
    <mergeCell ref="H32:H33"/>
    <mergeCell ref="B27:S27"/>
    <mergeCell ref="F17:S17"/>
    <mergeCell ref="A18:A20"/>
    <mergeCell ref="B18:B20"/>
    <mergeCell ref="C18:C20"/>
    <mergeCell ref="D18:D20"/>
    <mergeCell ref="E18:E20"/>
    <mergeCell ref="F18:K18"/>
    <mergeCell ref="L18:M18"/>
    <mergeCell ref="N18:Q18"/>
    <mergeCell ref="R18:R20"/>
    <mergeCell ref="S18:S20"/>
    <mergeCell ref="F19:F20"/>
    <mergeCell ref="H19:H20"/>
    <mergeCell ref="O19:O20"/>
    <mergeCell ref="P19:P20"/>
    <mergeCell ref="A12:S12"/>
    <mergeCell ref="G21:G24"/>
    <mergeCell ref="I19:I20"/>
    <mergeCell ref="J19:J20"/>
    <mergeCell ref="L19:L20"/>
    <mergeCell ref="M19:M20"/>
    <mergeCell ref="N19:N20"/>
    <mergeCell ref="A13:S13"/>
    <mergeCell ref="A26:S26"/>
    <mergeCell ref="A2:S2"/>
    <mergeCell ref="Q1:S1"/>
    <mergeCell ref="D1:P1"/>
    <mergeCell ref="B3:S3"/>
    <mergeCell ref="B4:I4"/>
    <mergeCell ref="J4:L4"/>
    <mergeCell ref="M4:O4"/>
    <mergeCell ref="Q4:S4"/>
    <mergeCell ref="L7:M7"/>
    <mergeCell ref="N7:Q7"/>
    <mergeCell ref="R7:R9"/>
    <mergeCell ref="S7:S9"/>
    <mergeCell ref="F8:F9"/>
    <mergeCell ref="H8:H9"/>
    <mergeCell ref="N8:N9"/>
    <mergeCell ref="O8:O9"/>
    <mergeCell ref="A5:E5"/>
    <mergeCell ref="F5:S5"/>
    <mergeCell ref="A6:E6"/>
    <mergeCell ref="A25:S25"/>
    <mergeCell ref="H37:H40"/>
    <mergeCell ref="F6:S6"/>
    <mergeCell ref="A7:A9"/>
    <mergeCell ref="B7:B9"/>
    <mergeCell ref="C7:C9"/>
    <mergeCell ref="D7:D9"/>
    <mergeCell ref="E7:E9"/>
    <mergeCell ref="F7:K7"/>
    <mergeCell ref="I8:I9"/>
    <mergeCell ref="J8:J9"/>
    <mergeCell ref="L8:L9"/>
    <mergeCell ref="P8:P9"/>
    <mergeCell ref="Q8:Q9"/>
    <mergeCell ref="M8:M9"/>
    <mergeCell ref="B14:S14"/>
    <mergeCell ref="B15:I15"/>
    <mergeCell ref="J15:L15"/>
    <mergeCell ref="M15:O15"/>
    <mergeCell ref="Q15:S15"/>
    <mergeCell ref="A16:E16"/>
    <mergeCell ref="F16:S16"/>
    <mergeCell ref="A17:E17"/>
    <mergeCell ref="Q19:Q20"/>
  </mergeCells>
  <conditionalFormatting sqref="P11 P24 P34 P49 P65 P78 P90 P103 P38:P40 P53:P56 P68:P69 P81 P93:P94">
    <cfRule type="containsText" dxfId="94" priority="111" operator="containsText" text="Crítico">
      <formula>NOT(ISERROR(SEARCH("Crítico",P11)))</formula>
    </cfRule>
    <cfRule type="containsText" dxfId="93" priority="112" operator="containsText" text="Alto">
      <formula>NOT(ISERROR(SEARCH("Alto",P11)))</formula>
    </cfRule>
    <cfRule type="containsText" dxfId="92" priority="113" operator="containsText" text="Médio">
      <formula>NOT(ISERROR(SEARCH("Médio",P11)))</formula>
    </cfRule>
    <cfRule type="containsText" dxfId="91" priority="114" operator="containsText" text="Baixo">
      <formula>NOT(ISERROR(SEARCH("Baixo",P11)))</formula>
    </cfRule>
    <cfRule type="containsText" dxfId="90" priority="115" operator="containsText" text="Irrelevante">
      <formula>NOT(ISERROR(SEARCH("Irrelevante",P11)))</formula>
    </cfRule>
  </conditionalFormatting>
  <conditionalFormatting sqref="P21">
    <cfRule type="containsText" dxfId="89" priority="106" operator="containsText" text="Crítico">
      <formula>NOT(ISERROR(SEARCH("Crítico",P21)))</formula>
    </cfRule>
    <cfRule type="containsText" dxfId="88" priority="107" operator="containsText" text="Alto">
      <formula>NOT(ISERROR(SEARCH("Alto",P21)))</formula>
    </cfRule>
    <cfRule type="containsText" dxfId="87" priority="108" operator="containsText" text="Médio">
      <formula>NOT(ISERROR(SEARCH("Médio",P21)))</formula>
    </cfRule>
    <cfRule type="containsText" dxfId="86" priority="109" operator="containsText" text="Baixo">
      <formula>NOT(ISERROR(SEARCH("Baixo",P21)))</formula>
    </cfRule>
    <cfRule type="containsText" dxfId="85" priority="110" operator="containsText" text="Irrelevante">
      <formula>NOT(ISERROR(SEARCH("Irrelevante",P21)))</formula>
    </cfRule>
  </conditionalFormatting>
  <conditionalFormatting sqref="P105">
    <cfRule type="containsText" dxfId="84" priority="86" operator="containsText" text="Crítico">
      <formula>NOT(ISERROR(SEARCH("Crítico",P105)))</formula>
    </cfRule>
    <cfRule type="containsText" dxfId="83" priority="87" operator="containsText" text="Alto">
      <formula>NOT(ISERROR(SEARCH("Alto",P105)))</formula>
    </cfRule>
    <cfRule type="containsText" dxfId="82" priority="88" operator="containsText" text="Médio">
      <formula>NOT(ISERROR(SEARCH("Médio",P105)))</formula>
    </cfRule>
    <cfRule type="containsText" dxfId="81" priority="89" operator="containsText" text="Baixo">
      <formula>NOT(ISERROR(SEARCH("Baixo",P105)))</formula>
    </cfRule>
    <cfRule type="containsText" dxfId="80" priority="90" operator="containsText" text="Irrelevante">
      <formula>NOT(ISERROR(SEARCH("Irrelevante",P105)))</formula>
    </cfRule>
  </conditionalFormatting>
  <conditionalFormatting sqref="P10">
    <cfRule type="containsText" dxfId="79" priority="81" operator="containsText" text="Crítico">
      <formula>NOT(ISERROR(SEARCH("Crítico",P10)))</formula>
    </cfRule>
    <cfRule type="containsText" dxfId="78" priority="82" operator="containsText" text="Alto">
      <formula>NOT(ISERROR(SEARCH("Alto",P10)))</formula>
    </cfRule>
    <cfRule type="containsText" dxfId="77" priority="83" operator="containsText" text="Médio">
      <formula>NOT(ISERROR(SEARCH("Médio",P10)))</formula>
    </cfRule>
    <cfRule type="containsText" dxfId="76" priority="84" operator="containsText" text="Baixo">
      <formula>NOT(ISERROR(SEARCH("Baixo",P10)))</formula>
    </cfRule>
    <cfRule type="containsText" dxfId="75" priority="85" operator="containsText" text="Irrelevante">
      <formula>NOT(ISERROR(SEARCH("Irrelevante",P10)))</formula>
    </cfRule>
  </conditionalFormatting>
  <conditionalFormatting sqref="P22">
    <cfRule type="containsText" dxfId="74" priority="76" operator="containsText" text="Crítico">
      <formula>NOT(ISERROR(SEARCH("Crítico",P22)))</formula>
    </cfRule>
    <cfRule type="containsText" dxfId="73" priority="77" operator="containsText" text="Alto">
      <formula>NOT(ISERROR(SEARCH("Alto",P22)))</formula>
    </cfRule>
    <cfRule type="containsText" dxfId="72" priority="78" operator="containsText" text="Médio">
      <formula>NOT(ISERROR(SEARCH("Médio",P22)))</formula>
    </cfRule>
    <cfRule type="containsText" dxfId="71" priority="79" operator="containsText" text="Baixo">
      <formula>NOT(ISERROR(SEARCH("Baixo",P22)))</formula>
    </cfRule>
    <cfRule type="containsText" dxfId="70" priority="80" operator="containsText" text="Irrelevante">
      <formula>NOT(ISERROR(SEARCH("Irrelevante",P22)))</formula>
    </cfRule>
  </conditionalFormatting>
  <conditionalFormatting sqref="P23">
    <cfRule type="containsText" dxfId="69" priority="71" operator="containsText" text="Crítico">
      <formula>NOT(ISERROR(SEARCH("Crítico",P23)))</formula>
    </cfRule>
    <cfRule type="containsText" dxfId="68" priority="72" operator="containsText" text="Alto">
      <formula>NOT(ISERROR(SEARCH("Alto",P23)))</formula>
    </cfRule>
    <cfRule type="containsText" dxfId="67" priority="73" operator="containsText" text="Médio">
      <formula>NOT(ISERROR(SEARCH("Médio",P23)))</formula>
    </cfRule>
    <cfRule type="containsText" dxfId="66" priority="74" operator="containsText" text="Baixo">
      <formula>NOT(ISERROR(SEARCH("Baixo",P23)))</formula>
    </cfRule>
    <cfRule type="containsText" dxfId="65" priority="75" operator="containsText" text="Irrelevante">
      <formula>NOT(ISERROR(SEARCH("Irrelevante",P23)))</formula>
    </cfRule>
  </conditionalFormatting>
  <conditionalFormatting sqref="P35">
    <cfRule type="containsText" dxfId="64" priority="66" operator="containsText" text="Crítico">
      <formula>NOT(ISERROR(SEARCH("Crítico",P35)))</formula>
    </cfRule>
    <cfRule type="containsText" dxfId="63" priority="67" operator="containsText" text="Alto">
      <formula>NOT(ISERROR(SEARCH("Alto",P35)))</formula>
    </cfRule>
    <cfRule type="containsText" dxfId="62" priority="68" operator="containsText" text="Médio">
      <formula>NOT(ISERROR(SEARCH("Médio",P35)))</formula>
    </cfRule>
    <cfRule type="containsText" dxfId="61" priority="69" operator="containsText" text="Baixo">
      <formula>NOT(ISERROR(SEARCH("Baixo",P35)))</formula>
    </cfRule>
    <cfRule type="containsText" dxfId="60" priority="70" operator="containsText" text="Irrelevante">
      <formula>NOT(ISERROR(SEARCH("Irrelevante",P35)))</formula>
    </cfRule>
  </conditionalFormatting>
  <conditionalFormatting sqref="P37">
    <cfRule type="containsText" dxfId="59" priority="61" operator="containsText" text="Crítico">
      <formula>NOT(ISERROR(SEARCH("Crítico",P37)))</formula>
    </cfRule>
    <cfRule type="containsText" dxfId="58" priority="62" operator="containsText" text="Alto">
      <formula>NOT(ISERROR(SEARCH("Alto",P37)))</formula>
    </cfRule>
    <cfRule type="containsText" dxfId="57" priority="63" operator="containsText" text="Médio">
      <formula>NOT(ISERROR(SEARCH("Médio",P37)))</formula>
    </cfRule>
    <cfRule type="containsText" dxfId="56" priority="64" operator="containsText" text="Baixo">
      <formula>NOT(ISERROR(SEARCH("Baixo",P37)))</formula>
    </cfRule>
    <cfRule type="containsText" dxfId="55" priority="65" operator="containsText" text="Irrelevante">
      <formula>NOT(ISERROR(SEARCH("Irrelevante",P37)))</formula>
    </cfRule>
  </conditionalFormatting>
  <conditionalFormatting sqref="P51">
    <cfRule type="containsText" dxfId="54" priority="56" operator="containsText" text="Crítico">
      <formula>NOT(ISERROR(SEARCH("Crítico",P51)))</formula>
    </cfRule>
    <cfRule type="containsText" dxfId="53" priority="57" operator="containsText" text="Alto">
      <formula>NOT(ISERROR(SEARCH("Alto",P51)))</formula>
    </cfRule>
    <cfRule type="containsText" dxfId="52" priority="58" operator="containsText" text="Médio">
      <formula>NOT(ISERROR(SEARCH("Médio",P51)))</formula>
    </cfRule>
    <cfRule type="containsText" dxfId="51" priority="59" operator="containsText" text="Baixo">
      <formula>NOT(ISERROR(SEARCH("Baixo",P51)))</formula>
    </cfRule>
    <cfRule type="containsText" dxfId="50" priority="60" operator="containsText" text="Irrelevante">
      <formula>NOT(ISERROR(SEARCH("Irrelevante",P51)))</formula>
    </cfRule>
  </conditionalFormatting>
  <conditionalFormatting sqref="P92">
    <cfRule type="containsText" dxfId="49" priority="16" operator="containsText" text="Crítico">
      <formula>NOT(ISERROR(SEARCH("Crítico",P92)))</formula>
    </cfRule>
    <cfRule type="containsText" dxfId="48" priority="17" operator="containsText" text="Alto">
      <formula>NOT(ISERROR(SEARCH("Alto",P92)))</formula>
    </cfRule>
    <cfRule type="containsText" dxfId="47" priority="18" operator="containsText" text="Médio">
      <formula>NOT(ISERROR(SEARCH("Médio",P92)))</formula>
    </cfRule>
    <cfRule type="containsText" dxfId="46" priority="19" operator="containsText" text="Baixo">
      <formula>NOT(ISERROR(SEARCH("Baixo",P92)))</formula>
    </cfRule>
    <cfRule type="containsText" dxfId="45" priority="20" operator="containsText" text="Irrelevante">
      <formula>NOT(ISERROR(SEARCH("Irrelevante",P92)))</formula>
    </cfRule>
  </conditionalFormatting>
  <conditionalFormatting sqref="P52">
    <cfRule type="containsText" dxfId="44" priority="51" operator="containsText" text="Crítico">
      <formula>NOT(ISERROR(SEARCH("Crítico",P52)))</formula>
    </cfRule>
    <cfRule type="containsText" dxfId="43" priority="52" operator="containsText" text="Alto">
      <formula>NOT(ISERROR(SEARCH("Alto",P52)))</formula>
    </cfRule>
    <cfRule type="containsText" dxfId="42" priority="53" operator="containsText" text="Médio">
      <formula>NOT(ISERROR(SEARCH("Médio",P52)))</formula>
    </cfRule>
    <cfRule type="containsText" dxfId="41" priority="54" operator="containsText" text="Baixo">
      <formula>NOT(ISERROR(SEARCH("Baixo",P52)))</formula>
    </cfRule>
    <cfRule type="containsText" dxfId="40" priority="55" operator="containsText" text="Irrelevante">
      <formula>NOT(ISERROR(SEARCH("Irrelevante",P52)))</formula>
    </cfRule>
  </conditionalFormatting>
  <conditionalFormatting sqref="P66">
    <cfRule type="containsText" dxfId="39" priority="46" operator="containsText" text="Crítico">
      <formula>NOT(ISERROR(SEARCH("Crítico",P66)))</formula>
    </cfRule>
    <cfRule type="containsText" dxfId="38" priority="47" operator="containsText" text="Alto">
      <formula>NOT(ISERROR(SEARCH("Alto",P66)))</formula>
    </cfRule>
    <cfRule type="containsText" dxfId="37" priority="48" operator="containsText" text="Médio">
      <formula>NOT(ISERROR(SEARCH("Médio",P66)))</formula>
    </cfRule>
    <cfRule type="containsText" dxfId="36" priority="49" operator="containsText" text="Baixo">
      <formula>NOT(ISERROR(SEARCH("Baixo",P66)))</formula>
    </cfRule>
    <cfRule type="containsText" dxfId="35" priority="50" operator="containsText" text="Irrelevante">
      <formula>NOT(ISERROR(SEARCH("Irrelevante",P66)))</formula>
    </cfRule>
  </conditionalFormatting>
  <conditionalFormatting sqref="P36">
    <cfRule type="containsText" dxfId="34" priority="1" operator="containsText" text="Crítico">
      <formula>NOT(ISERROR(SEARCH("Crítico",P36)))</formula>
    </cfRule>
    <cfRule type="containsText" dxfId="33" priority="2" operator="containsText" text="Alto">
      <formula>NOT(ISERROR(SEARCH("Alto",P36)))</formula>
    </cfRule>
    <cfRule type="containsText" dxfId="32" priority="3" operator="containsText" text="Médio">
      <formula>NOT(ISERROR(SEARCH("Médio",P36)))</formula>
    </cfRule>
    <cfRule type="containsText" dxfId="31" priority="4" operator="containsText" text="Baixo">
      <formula>NOT(ISERROR(SEARCH("Baixo",P36)))</formula>
    </cfRule>
    <cfRule type="containsText" dxfId="30" priority="5" operator="containsText" text="Irrelevante">
      <formula>NOT(ISERROR(SEARCH("Irrelevante",P36)))</formula>
    </cfRule>
  </conditionalFormatting>
  <conditionalFormatting sqref="P67">
    <cfRule type="containsText" dxfId="29" priority="36" operator="containsText" text="Crítico">
      <formula>NOT(ISERROR(SEARCH("Crítico",P67)))</formula>
    </cfRule>
    <cfRule type="containsText" dxfId="28" priority="37" operator="containsText" text="Alto">
      <formula>NOT(ISERROR(SEARCH("Alto",P67)))</formula>
    </cfRule>
    <cfRule type="containsText" dxfId="27" priority="38" operator="containsText" text="Médio">
      <formula>NOT(ISERROR(SEARCH("Médio",P67)))</formula>
    </cfRule>
    <cfRule type="containsText" dxfId="26" priority="39" operator="containsText" text="Baixo">
      <formula>NOT(ISERROR(SEARCH("Baixo",P67)))</formula>
    </cfRule>
    <cfRule type="containsText" dxfId="25" priority="40" operator="containsText" text="Irrelevante">
      <formula>NOT(ISERROR(SEARCH("Irrelevante",P67)))</formula>
    </cfRule>
  </conditionalFormatting>
  <conditionalFormatting sqref="P79">
    <cfRule type="containsText" dxfId="24" priority="31" operator="containsText" text="Crítico">
      <formula>NOT(ISERROR(SEARCH("Crítico",P79)))</formula>
    </cfRule>
    <cfRule type="containsText" dxfId="23" priority="32" operator="containsText" text="Alto">
      <formula>NOT(ISERROR(SEARCH("Alto",P79)))</formula>
    </cfRule>
    <cfRule type="containsText" dxfId="22" priority="33" operator="containsText" text="Médio">
      <formula>NOT(ISERROR(SEARCH("Médio",P79)))</formula>
    </cfRule>
    <cfRule type="containsText" dxfId="21" priority="34" operator="containsText" text="Baixo">
      <formula>NOT(ISERROR(SEARCH("Baixo",P79)))</formula>
    </cfRule>
    <cfRule type="containsText" dxfId="20" priority="35" operator="containsText" text="Irrelevante">
      <formula>NOT(ISERROR(SEARCH("Irrelevante",P79)))</formula>
    </cfRule>
  </conditionalFormatting>
  <conditionalFormatting sqref="P80">
    <cfRule type="containsText" dxfId="19" priority="26" operator="containsText" text="Crítico">
      <formula>NOT(ISERROR(SEARCH("Crítico",P80)))</formula>
    </cfRule>
    <cfRule type="containsText" dxfId="18" priority="27" operator="containsText" text="Alto">
      <formula>NOT(ISERROR(SEARCH("Alto",P80)))</formula>
    </cfRule>
    <cfRule type="containsText" dxfId="17" priority="28" operator="containsText" text="Médio">
      <formula>NOT(ISERROR(SEARCH("Médio",P80)))</formula>
    </cfRule>
    <cfRule type="containsText" dxfId="16" priority="29" operator="containsText" text="Baixo">
      <formula>NOT(ISERROR(SEARCH("Baixo",P80)))</formula>
    </cfRule>
    <cfRule type="containsText" dxfId="15" priority="30" operator="containsText" text="Irrelevante">
      <formula>NOT(ISERROR(SEARCH("Irrelevante",P80)))</formula>
    </cfRule>
  </conditionalFormatting>
  <conditionalFormatting sqref="P91">
    <cfRule type="containsText" dxfId="14" priority="21" operator="containsText" text="Crítico">
      <formula>NOT(ISERROR(SEARCH("Crítico",P91)))</formula>
    </cfRule>
    <cfRule type="containsText" dxfId="13" priority="22" operator="containsText" text="Alto">
      <formula>NOT(ISERROR(SEARCH("Alto",P91)))</formula>
    </cfRule>
    <cfRule type="containsText" dxfId="12" priority="23" operator="containsText" text="Médio">
      <formula>NOT(ISERROR(SEARCH("Médio",P91)))</formula>
    </cfRule>
    <cfRule type="containsText" dxfId="11" priority="24" operator="containsText" text="Baixo">
      <formula>NOT(ISERROR(SEARCH("Baixo",P91)))</formula>
    </cfRule>
    <cfRule type="containsText" dxfId="10" priority="25" operator="containsText" text="Irrelevante">
      <formula>NOT(ISERROR(SEARCH("Irrelevante",P91)))</formula>
    </cfRule>
  </conditionalFormatting>
  <conditionalFormatting sqref="P50">
    <cfRule type="containsText" dxfId="9" priority="11" operator="containsText" text="Crítico">
      <formula>NOT(ISERROR(SEARCH("Crítico",P50)))</formula>
    </cfRule>
    <cfRule type="containsText" dxfId="8" priority="12" operator="containsText" text="Alto">
      <formula>NOT(ISERROR(SEARCH("Alto",P50)))</formula>
    </cfRule>
    <cfRule type="containsText" dxfId="7" priority="13" operator="containsText" text="Médio">
      <formula>NOT(ISERROR(SEARCH("Médio",P50)))</formula>
    </cfRule>
    <cfRule type="containsText" dxfId="6" priority="14" operator="containsText" text="Baixo">
      <formula>NOT(ISERROR(SEARCH("Baixo",P50)))</formula>
    </cfRule>
    <cfRule type="containsText" dxfId="5" priority="15" operator="containsText" text="Irrelevante">
      <formula>NOT(ISERROR(SEARCH("Irrelevante",P50)))</formula>
    </cfRule>
  </conditionalFormatting>
  <conditionalFormatting sqref="P104">
    <cfRule type="containsText" dxfId="4" priority="6" operator="containsText" text="Crítico">
      <formula>NOT(ISERROR(SEARCH("Crítico",P104)))</formula>
    </cfRule>
    <cfRule type="containsText" dxfId="3" priority="7" operator="containsText" text="Alto">
      <formula>NOT(ISERROR(SEARCH("Alto",P104)))</formula>
    </cfRule>
    <cfRule type="containsText" dxfId="2" priority="8" operator="containsText" text="Médio">
      <formula>NOT(ISERROR(SEARCH("Médio",P104)))</formula>
    </cfRule>
    <cfRule type="containsText" dxfId="1" priority="9" operator="containsText" text="Baixo">
      <formula>NOT(ISERROR(SEARCH("Baixo",P104)))</formula>
    </cfRule>
    <cfRule type="containsText" dxfId="0" priority="10" operator="containsText" text="Irrelevante">
      <formula>NOT(ISERROR(SEARCH("Irrelevante",P104)))</formula>
    </cfRule>
  </conditionalFormatting>
  <printOptions horizontalCentered="1"/>
  <pageMargins left="0.19685039370078741" right="0.19685039370078741" top="0.59055118110236227" bottom="0.59055118110236227" header="0.31496062992125984" footer="0.31496062992125984"/>
  <pageSetup paperSize="9" scale="63" orientation="landscape" horizontalDpi="203" verticalDpi="203" r:id="rId1"/>
  <rowBreaks count="7" manualBreakCount="7">
    <brk id="12" max="18" man="1"/>
    <brk id="25" max="18" man="1"/>
    <brk id="40" max="18" man="1"/>
    <brk id="56" max="18" man="1"/>
    <brk id="69" max="18" man="1"/>
    <brk id="81" max="18" man="1"/>
    <brk id="94" max="18" man="1"/>
  </rowBreaks>
  <ignoredErrors>
    <ignoredError sqref="B3 B14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MATRIZ!$H$1:$H$5</xm:f>
          </x14:formula1>
          <xm:sqref>N49:N57 N10:N11 N21:N24 N103:N105 N90:N95 N65:N70 N78:N82 N26 N34:N41</xm:sqref>
        </x14:dataValidation>
        <x14:dataValidation type="list" allowBlank="1" showInputMessage="1" showErrorMessage="1" xr:uid="{00000000-0002-0000-0000-000001000000}">
          <x14:formula1>
            <xm:f>MATRIZ!$K$1:$K$5</xm:f>
          </x14:formula1>
          <xm:sqref>O49:O57 O10:O11 O21:O24 O103:O105 O90:O95 O65:O70 O78:O82 O26 O34:O41</xm:sqref>
        </x14:dataValidation>
        <x14:dataValidation type="list" allowBlank="1" showInputMessage="1" showErrorMessage="1" xr:uid="{00000000-0002-0000-0000-000002000000}">
          <x14:formula1>
            <xm:f>MATRIZ!$G$9:$G$12</xm:f>
          </x14:formula1>
          <xm:sqref>Q49:Q57 Q10:Q11 Q21:Q24 Q103:Q105 Q90:Q95 Q65:Q70 Q78:Q82 Q26 Q34:Q41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4"/>
  <sheetViews>
    <sheetView showGridLines="0" zoomScale="130" zoomScaleNormal="130" workbookViewId="0">
      <pane ySplit="1" topLeftCell="A2" activePane="bottomLeft" state="frozen"/>
      <selection activeCell="D37" sqref="D37"/>
      <selection pane="bottomLeft" activeCell="D37" sqref="D37"/>
    </sheetView>
  </sheetViews>
  <sheetFormatPr defaultRowHeight="12.75" x14ac:dyDescent="0.2"/>
  <cols>
    <col min="1" max="1" width="25.7109375" style="47" customWidth="1"/>
    <col min="2" max="2" width="73.7109375" style="47" customWidth="1"/>
    <col min="3" max="3" width="14" style="48" customWidth="1"/>
    <col min="4" max="15" width="5.140625" style="49" bestFit="1" customWidth="1"/>
    <col min="16" max="255" width="9.140625" style="49"/>
    <col min="256" max="256" width="12.5703125" style="49" customWidth="1"/>
    <col min="257" max="257" width="57.42578125" style="49" customWidth="1"/>
    <col min="258" max="258" width="8.7109375" style="49" customWidth="1"/>
    <col min="259" max="270" width="4.28515625" style="49" customWidth="1"/>
    <col min="271" max="271" width="11.85546875" style="49" customWidth="1"/>
    <col min="272" max="511" width="9.140625" style="49"/>
    <col min="512" max="512" width="12.5703125" style="49" customWidth="1"/>
    <col min="513" max="513" width="57.42578125" style="49" customWidth="1"/>
    <col min="514" max="514" width="8.7109375" style="49" customWidth="1"/>
    <col min="515" max="526" width="4.28515625" style="49" customWidth="1"/>
    <col min="527" max="527" width="11.85546875" style="49" customWidth="1"/>
    <col min="528" max="767" width="9.140625" style="49"/>
    <col min="768" max="768" width="12.5703125" style="49" customWidth="1"/>
    <col min="769" max="769" width="57.42578125" style="49" customWidth="1"/>
    <col min="770" max="770" width="8.7109375" style="49" customWidth="1"/>
    <col min="771" max="782" width="4.28515625" style="49" customWidth="1"/>
    <col min="783" max="783" width="11.85546875" style="49" customWidth="1"/>
    <col min="784" max="1023" width="9.140625" style="49"/>
    <col min="1024" max="1024" width="12.5703125" style="49" customWidth="1"/>
    <col min="1025" max="1025" width="57.42578125" style="49" customWidth="1"/>
    <col min="1026" max="1026" width="8.7109375" style="49" customWidth="1"/>
    <col min="1027" max="1038" width="4.28515625" style="49" customWidth="1"/>
    <col min="1039" max="1039" width="11.85546875" style="49" customWidth="1"/>
    <col min="1040" max="1279" width="9.140625" style="49"/>
    <col min="1280" max="1280" width="12.5703125" style="49" customWidth="1"/>
    <col min="1281" max="1281" width="57.42578125" style="49" customWidth="1"/>
    <col min="1282" max="1282" width="8.7109375" style="49" customWidth="1"/>
    <col min="1283" max="1294" width="4.28515625" style="49" customWidth="1"/>
    <col min="1295" max="1295" width="11.85546875" style="49" customWidth="1"/>
    <col min="1296" max="1535" width="9.140625" style="49"/>
    <col min="1536" max="1536" width="12.5703125" style="49" customWidth="1"/>
    <col min="1537" max="1537" width="57.42578125" style="49" customWidth="1"/>
    <col min="1538" max="1538" width="8.7109375" style="49" customWidth="1"/>
    <col min="1539" max="1550" width="4.28515625" style="49" customWidth="1"/>
    <col min="1551" max="1551" width="11.85546875" style="49" customWidth="1"/>
    <col min="1552" max="1791" width="9.140625" style="49"/>
    <col min="1792" max="1792" width="12.5703125" style="49" customWidth="1"/>
    <col min="1793" max="1793" width="57.42578125" style="49" customWidth="1"/>
    <col min="1794" max="1794" width="8.7109375" style="49" customWidth="1"/>
    <col min="1795" max="1806" width="4.28515625" style="49" customWidth="1"/>
    <col min="1807" max="1807" width="11.85546875" style="49" customWidth="1"/>
    <col min="1808" max="2047" width="9.140625" style="49"/>
    <col min="2048" max="2048" width="12.5703125" style="49" customWidth="1"/>
    <col min="2049" max="2049" width="57.42578125" style="49" customWidth="1"/>
    <col min="2050" max="2050" width="8.7109375" style="49" customWidth="1"/>
    <col min="2051" max="2062" width="4.28515625" style="49" customWidth="1"/>
    <col min="2063" max="2063" width="11.85546875" style="49" customWidth="1"/>
    <col min="2064" max="2303" width="9.140625" style="49"/>
    <col min="2304" max="2304" width="12.5703125" style="49" customWidth="1"/>
    <col min="2305" max="2305" width="57.42578125" style="49" customWidth="1"/>
    <col min="2306" max="2306" width="8.7109375" style="49" customWidth="1"/>
    <col min="2307" max="2318" width="4.28515625" style="49" customWidth="1"/>
    <col min="2319" max="2319" width="11.85546875" style="49" customWidth="1"/>
    <col min="2320" max="2559" width="9.140625" style="49"/>
    <col min="2560" max="2560" width="12.5703125" style="49" customWidth="1"/>
    <col min="2561" max="2561" width="57.42578125" style="49" customWidth="1"/>
    <col min="2562" max="2562" width="8.7109375" style="49" customWidth="1"/>
    <col min="2563" max="2574" width="4.28515625" style="49" customWidth="1"/>
    <col min="2575" max="2575" width="11.85546875" style="49" customWidth="1"/>
    <col min="2576" max="2815" width="9.140625" style="49"/>
    <col min="2816" max="2816" width="12.5703125" style="49" customWidth="1"/>
    <col min="2817" max="2817" width="57.42578125" style="49" customWidth="1"/>
    <col min="2818" max="2818" width="8.7109375" style="49" customWidth="1"/>
    <col min="2819" max="2830" width="4.28515625" style="49" customWidth="1"/>
    <col min="2831" max="2831" width="11.85546875" style="49" customWidth="1"/>
    <col min="2832" max="3071" width="9.140625" style="49"/>
    <col min="3072" max="3072" width="12.5703125" style="49" customWidth="1"/>
    <col min="3073" max="3073" width="57.42578125" style="49" customWidth="1"/>
    <col min="3074" max="3074" width="8.7109375" style="49" customWidth="1"/>
    <col min="3075" max="3086" width="4.28515625" style="49" customWidth="1"/>
    <col min="3087" max="3087" width="11.85546875" style="49" customWidth="1"/>
    <col min="3088" max="3327" width="9.140625" style="49"/>
    <col min="3328" max="3328" width="12.5703125" style="49" customWidth="1"/>
    <col min="3329" max="3329" width="57.42578125" style="49" customWidth="1"/>
    <col min="3330" max="3330" width="8.7109375" style="49" customWidth="1"/>
    <col min="3331" max="3342" width="4.28515625" style="49" customWidth="1"/>
    <col min="3343" max="3343" width="11.85546875" style="49" customWidth="1"/>
    <col min="3344" max="3583" width="9.140625" style="49"/>
    <col min="3584" max="3584" width="12.5703125" style="49" customWidth="1"/>
    <col min="3585" max="3585" width="57.42578125" style="49" customWidth="1"/>
    <col min="3586" max="3586" width="8.7109375" style="49" customWidth="1"/>
    <col min="3587" max="3598" width="4.28515625" style="49" customWidth="1"/>
    <col min="3599" max="3599" width="11.85546875" style="49" customWidth="1"/>
    <col min="3600" max="3839" width="9.140625" style="49"/>
    <col min="3840" max="3840" width="12.5703125" style="49" customWidth="1"/>
    <col min="3841" max="3841" width="57.42578125" style="49" customWidth="1"/>
    <col min="3842" max="3842" width="8.7109375" style="49" customWidth="1"/>
    <col min="3843" max="3854" width="4.28515625" style="49" customWidth="1"/>
    <col min="3855" max="3855" width="11.85546875" style="49" customWidth="1"/>
    <col min="3856" max="4095" width="9.140625" style="49"/>
    <col min="4096" max="4096" width="12.5703125" style="49" customWidth="1"/>
    <col min="4097" max="4097" width="57.42578125" style="49" customWidth="1"/>
    <col min="4098" max="4098" width="8.7109375" style="49" customWidth="1"/>
    <col min="4099" max="4110" width="4.28515625" style="49" customWidth="1"/>
    <col min="4111" max="4111" width="11.85546875" style="49" customWidth="1"/>
    <col min="4112" max="4351" width="9.140625" style="49"/>
    <col min="4352" max="4352" width="12.5703125" style="49" customWidth="1"/>
    <col min="4353" max="4353" width="57.42578125" style="49" customWidth="1"/>
    <col min="4354" max="4354" width="8.7109375" style="49" customWidth="1"/>
    <col min="4355" max="4366" width="4.28515625" style="49" customWidth="1"/>
    <col min="4367" max="4367" width="11.85546875" style="49" customWidth="1"/>
    <col min="4368" max="4607" width="9.140625" style="49"/>
    <col min="4608" max="4608" width="12.5703125" style="49" customWidth="1"/>
    <col min="4609" max="4609" width="57.42578125" style="49" customWidth="1"/>
    <col min="4610" max="4610" width="8.7109375" style="49" customWidth="1"/>
    <col min="4611" max="4622" width="4.28515625" style="49" customWidth="1"/>
    <col min="4623" max="4623" width="11.85546875" style="49" customWidth="1"/>
    <col min="4624" max="4863" width="9.140625" style="49"/>
    <col min="4864" max="4864" width="12.5703125" style="49" customWidth="1"/>
    <col min="4865" max="4865" width="57.42578125" style="49" customWidth="1"/>
    <col min="4866" max="4866" width="8.7109375" style="49" customWidth="1"/>
    <col min="4867" max="4878" width="4.28515625" style="49" customWidth="1"/>
    <col min="4879" max="4879" width="11.85546875" style="49" customWidth="1"/>
    <col min="4880" max="5119" width="9.140625" style="49"/>
    <col min="5120" max="5120" width="12.5703125" style="49" customWidth="1"/>
    <col min="5121" max="5121" width="57.42578125" style="49" customWidth="1"/>
    <col min="5122" max="5122" width="8.7109375" style="49" customWidth="1"/>
    <col min="5123" max="5134" width="4.28515625" style="49" customWidth="1"/>
    <col min="5135" max="5135" width="11.85546875" style="49" customWidth="1"/>
    <col min="5136" max="5375" width="9.140625" style="49"/>
    <col min="5376" max="5376" width="12.5703125" style="49" customWidth="1"/>
    <col min="5377" max="5377" width="57.42578125" style="49" customWidth="1"/>
    <col min="5378" max="5378" width="8.7109375" style="49" customWidth="1"/>
    <col min="5379" max="5390" width="4.28515625" style="49" customWidth="1"/>
    <col min="5391" max="5391" width="11.85546875" style="49" customWidth="1"/>
    <col min="5392" max="5631" width="9.140625" style="49"/>
    <col min="5632" max="5632" width="12.5703125" style="49" customWidth="1"/>
    <col min="5633" max="5633" width="57.42578125" style="49" customWidth="1"/>
    <col min="5634" max="5634" width="8.7109375" style="49" customWidth="1"/>
    <col min="5635" max="5646" width="4.28515625" style="49" customWidth="1"/>
    <col min="5647" max="5647" width="11.85546875" style="49" customWidth="1"/>
    <col min="5648" max="5887" width="9.140625" style="49"/>
    <col min="5888" max="5888" width="12.5703125" style="49" customWidth="1"/>
    <col min="5889" max="5889" width="57.42578125" style="49" customWidth="1"/>
    <col min="5890" max="5890" width="8.7109375" style="49" customWidth="1"/>
    <col min="5891" max="5902" width="4.28515625" style="49" customWidth="1"/>
    <col min="5903" max="5903" width="11.85546875" style="49" customWidth="1"/>
    <col min="5904" max="6143" width="9.140625" style="49"/>
    <col min="6144" max="6144" width="12.5703125" style="49" customWidth="1"/>
    <col min="6145" max="6145" width="57.42578125" style="49" customWidth="1"/>
    <col min="6146" max="6146" width="8.7109375" style="49" customWidth="1"/>
    <col min="6147" max="6158" width="4.28515625" style="49" customWidth="1"/>
    <col min="6159" max="6159" width="11.85546875" style="49" customWidth="1"/>
    <col min="6160" max="6399" width="9.140625" style="49"/>
    <col min="6400" max="6400" width="12.5703125" style="49" customWidth="1"/>
    <col min="6401" max="6401" width="57.42578125" style="49" customWidth="1"/>
    <col min="6402" max="6402" width="8.7109375" style="49" customWidth="1"/>
    <col min="6403" max="6414" width="4.28515625" style="49" customWidth="1"/>
    <col min="6415" max="6415" width="11.85546875" style="49" customWidth="1"/>
    <col min="6416" max="6655" width="9.140625" style="49"/>
    <col min="6656" max="6656" width="12.5703125" style="49" customWidth="1"/>
    <col min="6657" max="6657" width="57.42578125" style="49" customWidth="1"/>
    <col min="6658" max="6658" width="8.7109375" style="49" customWidth="1"/>
    <col min="6659" max="6670" width="4.28515625" style="49" customWidth="1"/>
    <col min="6671" max="6671" width="11.85546875" style="49" customWidth="1"/>
    <col min="6672" max="6911" width="9.140625" style="49"/>
    <col min="6912" max="6912" width="12.5703125" style="49" customWidth="1"/>
    <col min="6913" max="6913" width="57.42578125" style="49" customWidth="1"/>
    <col min="6914" max="6914" width="8.7109375" style="49" customWidth="1"/>
    <col min="6915" max="6926" width="4.28515625" style="49" customWidth="1"/>
    <col min="6927" max="6927" width="11.85546875" style="49" customWidth="1"/>
    <col min="6928" max="7167" width="9.140625" style="49"/>
    <col min="7168" max="7168" width="12.5703125" style="49" customWidth="1"/>
    <col min="7169" max="7169" width="57.42578125" style="49" customWidth="1"/>
    <col min="7170" max="7170" width="8.7109375" style="49" customWidth="1"/>
    <col min="7171" max="7182" width="4.28515625" style="49" customWidth="1"/>
    <col min="7183" max="7183" width="11.85546875" style="49" customWidth="1"/>
    <col min="7184" max="7423" width="9.140625" style="49"/>
    <col min="7424" max="7424" width="12.5703125" style="49" customWidth="1"/>
    <col min="7425" max="7425" width="57.42578125" style="49" customWidth="1"/>
    <col min="7426" max="7426" width="8.7109375" style="49" customWidth="1"/>
    <col min="7427" max="7438" width="4.28515625" style="49" customWidth="1"/>
    <col min="7439" max="7439" width="11.85546875" style="49" customWidth="1"/>
    <col min="7440" max="7679" width="9.140625" style="49"/>
    <col min="7680" max="7680" width="12.5703125" style="49" customWidth="1"/>
    <col min="7681" max="7681" width="57.42578125" style="49" customWidth="1"/>
    <col min="7682" max="7682" width="8.7109375" style="49" customWidth="1"/>
    <col min="7683" max="7694" width="4.28515625" style="49" customWidth="1"/>
    <col min="7695" max="7695" width="11.85546875" style="49" customWidth="1"/>
    <col min="7696" max="7935" width="9.140625" style="49"/>
    <col min="7936" max="7936" width="12.5703125" style="49" customWidth="1"/>
    <col min="7937" max="7937" width="57.42578125" style="49" customWidth="1"/>
    <col min="7938" max="7938" width="8.7109375" style="49" customWidth="1"/>
    <col min="7939" max="7950" width="4.28515625" style="49" customWidth="1"/>
    <col min="7951" max="7951" width="11.85546875" style="49" customWidth="1"/>
    <col min="7952" max="8191" width="9.140625" style="49"/>
    <col min="8192" max="8192" width="12.5703125" style="49" customWidth="1"/>
    <col min="8193" max="8193" width="57.42578125" style="49" customWidth="1"/>
    <col min="8194" max="8194" width="8.7109375" style="49" customWidth="1"/>
    <col min="8195" max="8206" width="4.28515625" style="49" customWidth="1"/>
    <col min="8207" max="8207" width="11.85546875" style="49" customWidth="1"/>
    <col min="8208" max="8447" width="9.140625" style="49"/>
    <col min="8448" max="8448" width="12.5703125" style="49" customWidth="1"/>
    <col min="8449" max="8449" width="57.42578125" style="49" customWidth="1"/>
    <col min="8450" max="8450" width="8.7109375" style="49" customWidth="1"/>
    <col min="8451" max="8462" width="4.28515625" style="49" customWidth="1"/>
    <col min="8463" max="8463" width="11.85546875" style="49" customWidth="1"/>
    <col min="8464" max="8703" width="9.140625" style="49"/>
    <col min="8704" max="8704" width="12.5703125" style="49" customWidth="1"/>
    <col min="8705" max="8705" width="57.42578125" style="49" customWidth="1"/>
    <col min="8706" max="8706" width="8.7109375" style="49" customWidth="1"/>
    <col min="8707" max="8718" width="4.28515625" style="49" customWidth="1"/>
    <col min="8719" max="8719" width="11.85546875" style="49" customWidth="1"/>
    <col min="8720" max="8959" width="9.140625" style="49"/>
    <col min="8960" max="8960" width="12.5703125" style="49" customWidth="1"/>
    <col min="8961" max="8961" width="57.42578125" style="49" customWidth="1"/>
    <col min="8962" max="8962" width="8.7109375" style="49" customWidth="1"/>
    <col min="8963" max="8974" width="4.28515625" style="49" customWidth="1"/>
    <col min="8975" max="8975" width="11.85546875" style="49" customWidth="1"/>
    <col min="8976" max="9215" width="9.140625" style="49"/>
    <col min="9216" max="9216" width="12.5703125" style="49" customWidth="1"/>
    <col min="9217" max="9217" width="57.42578125" style="49" customWidth="1"/>
    <col min="9218" max="9218" width="8.7109375" style="49" customWidth="1"/>
    <col min="9219" max="9230" width="4.28515625" style="49" customWidth="1"/>
    <col min="9231" max="9231" width="11.85546875" style="49" customWidth="1"/>
    <col min="9232" max="9471" width="9.140625" style="49"/>
    <col min="9472" max="9472" width="12.5703125" style="49" customWidth="1"/>
    <col min="9473" max="9473" width="57.42578125" style="49" customWidth="1"/>
    <col min="9474" max="9474" width="8.7109375" style="49" customWidth="1"/>
    <col min="9475" max="9486" width="4.28515625" style="49" customWidth="1"/>
    <col min="9487" max="9487" width="11.85546875" style="49" customWidth="1"/>
    <col min="9488" max="9727" width="9.140625" style="49"/>
    <col min="9728" max="9728" width="12.5703125" style="49" customWidth="1"/>
    <col min="9729" max="9729" width="57.42578125" style="49" customWidth="1"/>
    <col min="9730" max="9730" width="8.7109375" style="49" customWidth="1"/>
    <col min="9731" max="9742" width="4.28515625" style="49" customWidth="1"/>
    <col min="9743" max="9743" width="11.85546875" style="49" customWidth="1"/>
    <col min="9744" max="9983" width="9.140625" style="49"/>
    <col min="9984" max="9984" width="12.5703125" style="49" customWidth="1"/>
    <col min="9985" max="9985" width="57.42578125" style="49" customWidth="1"/>
    <col min="9986" max="9986" width="8.7109375" style="49" customWidth="1"/>
    <col min="9987" max="9998" width="4.28515625" style="49" customWidth="1"/>
    <col min="9999" max="9999" width="11.85546875" style="49" customWidth="1"/>
    <col min="10000" max="10239" width="9.140625" style="49"/>
    <col min="10240" max="10240" width="12.5703125" style="49" customWidth="1"/>
    <col min="10241" max="10241" width="57.42578125" style="49" customWidth="1"/>
    <col min="10242" max="10242" width="8.7109375" style="49" customWidth="1"/>
    <col min="10243" max="10254" width="4.28515625" style="49" customWidth="1"/>
    <col min="10255" max="10255" width="11.85546875" style="49" customWidth="1"/>
    <col min="10256" max="10495" width="9.140625" style="49"/>
    <col min="10496" max="10496" width="12.5703125" style="49" customWidth="1"/>
    <col min="10497" max="10497" width="57.42578125" style="49" customWidth="1"/>
    <col min="10498" max="10498" width="8.7109375" style="49" customWidth="1"/>
    <col min="10499" max="10510" width="4.28515625" style="49" customWidth="1"/>
    <col min="10511" max="10511" width="11.85546875" style="49" customWidth="1"/>
    <col min="10512" max="10751" width="9.140625" style="49"/>
    <col min="10752" max="10752" width="12.5703125" style="49" customWidth="1"/>
    <col min="10753" max="10753" width="57.42578125" style="49" customWidth="1"/>
    <col min="10754" max="10754" width="8.7109375" style="49" customWidth="1"/>
    <col min="10755" max="10766" width="4.28515625" style="49" customWidth="1"/>
    <col min="10767" max="10767" width="11.85546875" style="49" customWidth="1"/>
    <col min="10768" max="11007" width="9.140625" style="49"/>
    <col min="11008" max="11008" width="12.5703125" style="49" customWidth="1"/>
    <col min="11009" max="11009" width="57.42578125" style="49" customWidth="1"/>
    <col min="11010" max="11010" width="8.7109375" style="49" customWidth="1"/>
    <col min="11011" max="11022" width="4.28515625" style="49" customWidth="1"/>
    <col min="11023" max="11023" width="11.85546875" style="49" customWidth="1"/>
    <col min="11024" max="11263" width="9.140625" style="49"/>
    <col min="11264" max="11264" width="12.5703125" style="49" customWidth="1"/>
    <col min="11265" max="11265" width="57.42578125" style="49" customWidth="1"/>
    <col min="11266" max="11266" width="8.7109375" style="49" customWidth="1"/>
    <col min="11267" max="11278" width="4.28515625" style="49" customWidth="1"/>
    <col min="11279" max="11279" width="11.85546875" style="49" customWidth="1"/>
    <col min="11280" max="11519" width="9.140625" style="49"/>
    <col min="11520" max="11520" width="12.5703125" style="49" customWidth="1"/>
    <col min="11521" max="11521" width="57.42578125" style="49" customWidth="1"/>
    <col min="11522" max="11522" width="8.7109375" style="49" customWidth="1"/>
    <col min="11523" max="11534" width="4.28515625" style="49" customWidth="1"/>
    <col min="11535" max="11535" width="11.85546875" style="49" customWidth="1"/>
    <col min="11536" max="11775" width="9.140625" style="49"/>
    <col min="11776" max="11776" width="12.5703125" style="49" customWidth="1"/>
    <col min="11777" max="11777" width="57.42578125" style="49" customWidth="1"/>
    <col min="11778" max="11778" width="8.7109375" style="49" customWidth="1"/>
    <col min="11779" max="11790" width="4.28515625" style="49" customWidth="1"/>
    <col min="11791" max="11791" width="11.85546875" style="49" customWidth="1"/>
    <col min="11792" max="12031" width="9.140625" style="49"/>
    <col min="12032" max="12032" width="12.5703125" style="49" customWidth="1"/>
    <col min="12033" max="12033" width="57.42578125" style="49" customWidth="1"/>
    <col min="12034" max="12034" width="8.7109375" style="49" customWidth="1"/>
    <col min="12035" max="12046" width="4.28515625" style="49" customWidth="1"/>
    <col min="12047" max="12047" width="11.85546875" style="49" customWidth="1"/>
    <col min="12048" max="12287" width="9.140625" style="49"/>
    <col min="12288" max="12288" width="12.5703125" style="49" customWidth="1"/>
    <col min="12289" max="12289" width="57.42578125" style="49" customWidth="1"/>
    <col min="12290" max="12290" width="8.7109375" style="49" customWidth="1"/>
    <col min="12291" max="12302" width="4.28515625" style="49" customWidth="1"/>
    <col min="12303" max="12303" width="11.85546875" style="49" customWidth="1"/>
    <col min="12304" max="12543" width="9.140625" style="49"/>
    <col min="12544" max="12544" width="12.5703125" style="49" customWidth="1"/>
    <col min="12545" max="12545" width="57.42578125" style="49" customWidth="1"/>
    <col min="12546" max="12546" width="8.7109375" style="49" customWidth="1"/>
    <col min="12547" max="12558" width="4.28515625" style="49" customWidth="1"/>
    <col min="12559" max="12559" width="11.85546875" style="49" customWidth="1"/>
    <col min="12560" max="12799" width="9.140625" style="49"/>
    <col min="12800" max="12800" width="12.5703125" style="49" customWidth="1"/>
    <col min="12801" max="12801" width="57.42578125" style="49" customWidth="1"/>
    <col min="12802" max="12802" width="8.7109375" style="49" customWidth="1"/>
    <col min="12803" max="12814" width="4.28515625" style="49" customWidth="1"/>
    <col min="12815" max="12815" width="11.85546875" style="49" customWidth="1"/>
    <col min="12816" max="13055" width="9.140625" style="49"/>
    <col min="13056" max="13056" width="12.5703125" style="49" customWidth="1"/>
    <col min="13057" max="13057" width="57.42578125" style="49" customWidth="1"/>
    <col min="13058" max="13058" width="8.7109375" style="49" customWidth="1"/>
    <col min="13059" max="13070" width="4.28515625" style="49" customWidth="1"/>
    <col min="13071" max="13071" width="11.85546875" style="49" customWidth="1"/>
    <col min="13072" max="13311" width="9.140625" style="49"/>
    <col min="13312" max="13312" width="12.5703125" style="49" customWidth="1"/>
    <col min="13313" max="13313" width="57.42578125" style="49" customWidth="1"/>
    <col min="13314" max="13314" width="8.7109375" style="49" customWidth="1"/>
    <col min="13315" max="13326" width="4.28515625" style="49" customWidth="1"/>
    <col min="13327" max="13327" width="11.85546875" style="49" customWidth="1"/>
    <col min="13328" max="13567" width="9.140625" style="49"/>
    <col min="13568" max="13568" width="12.5703125" style="49" customWidth="1"/>
    <col min="13569" max="13569" width="57.42578125" style="49" customWidth="1"/>
    <col min="13570" max="13570" width="8.7109375" style="49" customWidth="1"/>
    <col min="13571" max="13582" width="4.28515625" style="49" customWidth="1"/>
    <col min="13583" max="13583" width="11.85546875" style="49" customWidth="1"/>
    <col min="13584" max="13823" width="9.140625" style="49"/>
    <col min="13824" max="13824" width="12.5703125" style="49" customWidth="1"/>
    <col min="13825" max="13825" width="57.42578125" style="49" customWidth="1"/>
    <col min="13826" max="13826" width="8.7109375" style="49" customWidth="1"/>
    <col min="13827" max="13838" width="4.28515625" style="49" customWidth="1"/>
    <col min="13839" max="13839" width="11.85546875" style="49" customWidth="1"/>
    <col min="13840" max="14079" width="9.140625" style="49"/>
    <col min="14080" max="14080" width="12.5703125" style="49" customWidth="1"/>
    <col min="14081" max="14081" width="57.42578125" style="49" customWidth="1"/>
    <col min="14082" max="14082" width="8.7109375" style="49" customWidth="1"/>
    <col min="14083" max="14094" width="4.28515625" style="49" customWidth="1"/>
    <col min="14095" max="14095" width="11.85546875" style="49" customWidth="1"/>
    <col min="14096" max="14335" width="9.140625" style="49"/>
    <col min="14336" max="14336" width="12.5703125" style="49" customWidth="1"/>
    <col min="14337" max="14337" width="57.42578125" style="49" customWidth="1"/>
    <col min="14338" max="14338" width="8.7109375" style="49" customWidth="1"/>
    <col min="14339" max="14350" width="4.28515625" style="49" customWidth="1"/>
    <col min="14351" max="14351" width="11.85546875" style="49" customWidth="1"/>
    <col min="14352" max="14591" width="9.140625" style="49"/>
    <col min="14592" max="14592" width="12.5703125" style="49" customWidth="1"/>
    <col min="14593" max="14593" width="57.42578125" style="49" customWidth="1"/>
    <col min="14594" max="14594" width="8.7109375" style="49" customWidth="1"/>
    <col min="14595" max="14606" width="4.28515625" style="49" customWidth="1"/>
    <col min="14607" max="14607" width="11.85546875" style="49" customWidth="1"/>
    <col min="14608" max="14847" width="9.140625" style="49"/>
    <col min="14848" max="14848" width="12.5703125" style="49" customWidth="1"/>
    <col min="14849" max="14849" width="57.42578125" style="49" customWidth="1"/>
    <col min="14850" max="14850" width="8.7109375" style="49" customWidth="1"/>
    <col min="14851" max="14862" width="4.28515625" style="49" customWidth="1"/>
    <col min="14863" max="14863" width="11.85546875" style="49" customWidth="1"/>
    <col min="14864" max="15103" width="9.140625" style="49"/>
    <col min="15104" max="15104" width="12.5703125" style="49" customWidth="1"/>
    <col min="15105" max="15105" width="57.42578125" style="49" customWidth="1"/>
    <col min="15106" max="15106" width="8.7109375" style="49" customWidth="1"/>
    <col min="15107" max="15118" width="4.28515625" style="49" customWidth="1"/>
    <col min="15119" max="15119" width="11.85546875" style="49" customWidth="1"/>
    <col min="15120" max="15359" width="9.140625" style="49"/>
    <col min="15360" max="15360" width="12.5703125" style="49" customWidth="1"/>
    <col min="15361" max="15361" width="57.42578125" style="49" customWidth="1"/>
    <col min="15362" max="15362" width="8.7109375" style="49" customWidth="1"/>
    <col min="15363" max="15374" width="4.28515625" style="49" customWidth="1"/>
    <col min="15375" max="15375" width="11.85546875" style="49" customWidth="1"/>
    <col min="15376" max="15615" width="9.140625" style="49"/>
    <col min="15616" max="15616" width="12.5703125" style="49" customWidth="1"/>
    <col min="15617" max="15617" width="57.42578125" style="49" customWidth="1"/>
    <col min="15618" max="15618" width="8.7109375" style="49" customWidth="1"/>
    <col min="15619" max="15630" width="4.28515625" style="49" customWidth="1"/>
    <col min="15631" max="15631" width="11.85546875" style="49" customWidth="1"/>
    <col min="15632" max="15871" width="9.140625" style="49"/>
    <col min="15872" max="15872" width="12.5703125" style="49" customWidth="1"/>
    <col min="15873" max="15873" width="57.42578125" style="49" customWidth="1"/>
    <col min="15874" max="15874" width="8.7109375" style="49" customWidth="1"/>
    <col min="15875" max="15886" width="4.28515625" style="49" customWidth="1"/>
    <col min="15887" max="15887" width="11.85546875" style="49" customWidth="1"/>
    <col min="15888" max="16127" width="9.140625" style="49"/>
    <col min="16128" max="16128" width="12.5703125" style="49" customWidth="1"/>
    <col min="16129" max="16129" width="57.42578125" style="49" customWidth="1"/>
    <col min="16130" max="16130" width="8.7109375" style="49" customWidth="1"/>
    <col min="16131" max="16142" width="4.28515625" style="49" customWidth="1"/>
    <col min="16143" max="16143" width="11.85546875" style="49" customWidth="1"/>
    <col min="16144" max="16384" width="9.140625" style="49"/>
  </cols>
  <sheetData>
    <row r="1" spans="1:15" s="43" customFormat="1" ht="16.5" thickBot="1" x14ac:dyDescent="0.25">
      <c r="A1" s="141" t="s">
        <v>167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3"/>
    </row>
    <row r="2" spans="1:15" s="44" customFormat="1" ht="13.5" thickBot="1" x14ac:dyDescent="0.25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</row>
    <row r="3" spans="1:15" s="45" customFormat="1" ht="16.5" thickBot="1" x14ac:dyDescent="0.2">
      <c r="A3" s="145" t="s">
        <v>216</v>
      </c>
      <c r="B3" s="147" t="s">
        <v>217</v>
      </c>
      <c r="C3" s="147" t="s">
        <v>218</v>
      </c>
      <c r="D3" s="149" t="s">
        <v>154</v>
      </c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50"/>
    </row>
    <row r="4" spans="1:15" s="43" customFormat="1" ht="14.25" thickTop="1" thickBot="1" x14ac:dyDescent="0.25">
      <c r="A4" s="146"/>
      <c r="B4" s="148"/>
      <c r="C4" s="148"/>
      <c r="D4" s="64" t="s">
        <v>155</v>
      </c>
      <c r="E4" s="64" t="s">
        <v>156</v>
      </c>
      <c r="F4" s="64" t="s">
        <v>157</v>
      </c>
      <c r="G4" s="64" t="s">
        <v>158</v>
      </c>
      <c r="H4" s="64" t="s">
        <v>159</v>
      </c>
      <c r="I4" s="64" t="s">
        <v>160</v>
      </c>
      <c r="J4" s="64" t="s">
        <v>161</v>
      </c>
      <c r="K4" s="64" t="s">
        <v>162</v>
      </c>
      <c r="L4" s="64" t="s">
        <v>163</v>
      </c>
      <c r="M4" s="64" t="s">
        <v>164</v>
      </c>
      <c r="N4" s="64" t="s">
        <v>165</v>
      </c>
      <c r="O4" s="65" t="s">
        <v>166</v>
      </c>
    </row>
    <row r="5" spans="1:15" s="46" customFormat="1" ht="15" x14ac:dyDescent="0.25">
      <c r="A5" s="136" t="s">
        <v>226</v>
      </c>
      <c r="B5" s="76" t="s">
        <v>219</v>
      </c>
      <c r="C5" s="139" t="s">
        <v>220</v>
      </c>
      <c r="D5" s="77"/>
      <c r="E5" s="77"/>
      <c r="F5" s="77"/>
      <c r="G5" s="77"/>
      <c r="H5" s="77"/>
      <c r="I5" s="78"/>
      <c r="J5" s="77"/>
      <c r="K5" s="77"/>
      <c r="L5" s="77"/>
      <c r="M5" s="77"/>
      <c r="N5" s="77"/>
      <c r="O5" s="79"/>
    </row>
    <row r="6" spans="1:15" s="46" customFormat="1" ht="75" x14ac:dyDescent="0.25">
      <c r="A6" s="137"/>
      <c r="B6" s="50" t="s">
        <v>221</v>
      </c>
      <c r="C6" s="140"/>
      <c r="D6" s="66"/>
      <c r="E6" s="66"/>
      <c r="F6" s="67"/>
      <c r="G6" s="66"/>
      <c r="H6" s="66"/>
      <c r="I6" s="68"/>
      <c r="J6" s="66"/>
      <c r="K6" s="66"/>
      <c r="L6" s="66"/>
      <c r="M6" s="66"/>
      <c r="N6" s="66"/>
      <c r="O6" s="69"/>
    </row>
    <row r="7" spans="1:15" s="46" customFormat="1" ht="30" x14ac:dyDescent="0.25">
      <c r="A7" s="137"/>
      <c r="B7" s="50" t="s">
        <v>222</v>
      </c>
      <c r="C7" s="140"/>
      <c r="D7" s="70"/>
      <c r="E7" s="70"/>
      <c r="F7" s="70"/>
      <c r="G7" s="70"/>
      <c r="H7" s="70"/>
      <c r="I7" s="71"/>
      <c r="J7" s="70"/>
      <c r="K7" s="70"/>
      <c r="L7" s="70"/>
      <c r="M7" s="70"/>
      <c r="N7" s="70"/>
      <c r="O7" s="72"/>
    </row>
    <row r="8" spans="1:15" s="46" customFormat="1" ht="45" x14ac:dyDescent="0.25">
      <c r="A8" s="137"/>
      <c r="B8" s="50" t="s">
        <v>223</v>
      </c>
      <c r="C8" s="140"/>
      <c r="D8" s="127" t="s">
        <v>168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9"/>
    </row>
    <row r="9" spans="1:15" s="46" customFormat="1" ht="60" x14ac:dyDescent="0.25">
      <c r="A9" s="137"/>
      <c r="B9" s="50" t="s">
        <v>224</v>
      </c>
      <c r="C9" s="140"/>
      <c r="D9" s="130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2"/>
    </row>
    <row r="10" spans="1:15" s="46" customFormat="1" ht="15" x14ac:dyDescent="0.25">
      <c r="A10" s="138"/>
      <c r="B10" s="50" t="s">
        <v>225</v>
      </c>
      <c r="C10" s="140"/>
      <c r="D10" s="133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5"/>
    </row>
    <row r="11" spans="1:15" s="46" customFormat="1" ht="30" x14ac:dyDescent="0.25">
      <c r="A11" s="52" t="s">
        <v>250</v>
      </c>
      <c r="B11" s="50" t="s">
        <v>251</v>
      </c>
      <c r="C11" s="51"/>
      <c r="D11" s="70"/>
      <c r="E11" s="70"/>
      <c r="F11" s="70"/>
      <c r="G11" s="70"/>
      <c r="H11" s="71"/>
      <c r="I11" s="70"/>
      <c r="J11" s="70"/>
      <c r="K11" s="70"/>
      <c r="L11" s="70"/>
      <c r="M11" s="70"/>
      <c r="N11" s="70"/>
      <c r="O11" s="72"/>
    </row>
    <row r="12" spans="1:15" s="46" customFormat="1" ht="30" x14ac:dyDescent="0.25">
      <c r="A12" s="52" t="s">
        <v>255</v>
      </c>
      <c r="B12" s="50" t="s">
        <v>252</v>
      </c>
      <c r="C12" s="51"/>
      <c r="D12" s="70"/>
      <c r="E12" s="70"/>
      <c r="F12" s="70"/>
      <c r="G12" s="71"/>
      <c r="H12" s="70"/>
      <c r="I12" s="70"/>
      <c r="J12" s="70"/>
      <c r="K12" s="70"/>
      <c r="L12" s="70"/>
      <c r="M12" s="70"/>
      <c r="N12" s="70"/>
      <c r="O12" s="72"/>
    </row>
    <row r="13" spans="1:15" s="46" customFormat="1" ht="30" x14ac:dyDescent="0.25">
      <c r="A13" s="52" t="s">
        <v>256</v>
      </c>
      <c r="B13" s="50" t="s">
        <v>253</v>
      </c>
      <c r="C13" s="51"/>
      <c r="D13" s="70"/>
      <c r="E13" s="70"/>
      <c r="F13" s="70"/>
      <c r="G13" s="70"/>
      <c r="H13" s="71"/>
      <c r="I13" s="70"/>
      <c r="J13" s="70"/>
      <c r="K13" s="70"/>
      <c r="L13" s="70"/>
      <c r="M13" s="70"/>
      <c r="N13" s="70"/>
      <c r="O13" s="72"/>
    </row>
    <row r="14" spans="1:15" s="46" customFormat="1" ht="45.75" thickBot="1" x14ac:dyDescent="0.3">
      <c r="A14" s="80" t="s">
        <v>257</v>
      </c>
      <c r="B14" s="81" t="s">
        <v>254</v>
      </c>
      <c r="C14" s="82"/>
      <c r="D14" s="83"/>
      <c r="E14" s="83"/>
      <c r="F14" s="83"/>
      <c r="G14" s="83"/>
      <c r="H14" s="84"/>
      <c r="I14" s="83"/>
      <c r="J14" s="83"/>
      <c r="K14" s="83"/>
      <c r="L14" s="83"/>
      <c r="M14" s="83"/>
      <c r="N14" s="83"/>
      <c r="O14" s="85"/>
    </row>
  </sheetData>
  <mergeCells count="9">
    <mergeCell ref="D8:O10"/>
    <mergeCell ref="A5:A10"/>
    <mergeCell ref="C5:C10"/>
    <mergeCell ref="A1:O1"/>
    <mergeCell ref="A2:O2"/>
    <mergeCell ref="A3:A4"/>
    <mergeCell ref="B3:B4"/>
    <mergeCell ref="C3:C4"/>
    <mergeCell ref="D3:O3"/>
  </mergeCells>
  <printOptions horizontalCentered="1"/>
  <pageMargins left="3.937007874015748E-2" right="3.937007874015748E-2" top="0.59055118110236227" bottom="0.59055118110236227" header="0.31496062992125984" footer="0.31496062992125984"/>
  <pageSetup paperSize="9" scale="8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tabColor rgb="FFFFFF00"/>
  </sheetPr>
  <dimension ref="A1:L30"/>
  <sheetViews>
    <sheetView showGridLines="0" workbookViewId="0">
      <selection activeCell="E16" sqref="E16"/>
    </sheetView>
  </sheetViews>
  <sheetFormatPr defaultRowHeight="15" x14ac:dyDescent="0.25"/>
  <cols>
    <col min="1" max="1" width="28.42578125" customWidth="1"/>
    <col min="3" max="3" width="24.140625" customWidth="1"/>
    <col min="4" max="4" width="16.140625" style="8" customWidth="1"/>
    <col min="5" max="5" width="44.28515625" style="8" bestFit="1" customWidth="1"/>
    <col min="6" max="6" width="19.42578125" style="8" customWidth="1"/>
    <col min="7" max="7" width="15.28515625" style="8" customWidth="1"/>
    <col min="8" max="8" width="26.5703125" bestFit="1" customWidth="1"/>
    <col min="10" max="10" width="3.7109375" customWidth="1"/>
    <col min="11" max="11" width="23.28515625" bestFit="1" customWidth="1"/>
  </cols>
  <sheetData>
    <row r="1" spans="1:12" ht="19.5" thickBot="1" x14ac:dyDescent="0.35">
      <c r="B1" s="24" t="s">
        <v>67</v>
      </c>
      <c r="C1" s="23" t="s">
        <v>66</v>
      </c>
      <c r="D1" s="22" t="s">
        <v>65</v>
      </c>
      <c r="E1" s="21" t="s">
        <v>64</v>
      </c>
      <c r="F1" s="20" t="s">
        <v>51</v>
      </c>
    </row>
    <row r="2" spans="1:12" x14ac:dyDescent="0.25">
      <c r="B2" s="13">
        <v>1</v>
      </c>
      <c r="C2" s="19" t="s">
        <v>63</v>
      </c>
      <c r="D2" s="12">
        <v>1</v>
      </c>
      <c r="E2" s="12" t="s">
        <v>62</v>
      </c>
      <c r="F2" s="11" t="s">
        <v>33</v>
      </c>
      <c r="H2" t="str">
        <f>B2&amp;" - "&amp;C2</f>
        <v>1 - altamente improvável</v>
      </c>
      <c r="I2" s="13">
        <v>1</v>
      </c>
      <c r="K2" t="str">
        <f>D2&amp;" - "&amp;E2</f>
        <v>1 - Reversível, leve</v>
      </c>
      <c r="L2" s="12">
        <v>1</v>
      </c>
    </row>
    <row r="3" spans="1:12" x14ac:dyDescent="0.25">
      <c r="B3" s="13">
        <v>2</v>
      </c>
      <c r="C3" s="13" t="s">
        <v>61</v>
      </c>
      <c r="D3" s="12">
        <v>2</v>
      </c>
      <c r="E3" s="12" t="s">
        <v>60</v>
      </c>
      <c r="F3" s="11" t="s">
        <v>31</v>
      </c>
      <c r="H3" t="str">
        <f>B3&amp;" - "&amp;C3</f>
        <v>2 - improvável</v>
      </c>
      <c r="I3" s="13">
        <v>2</v>
      </c>
      <c r="K3" t="str">
        <f>D3&amp;" - "&amp;E3</f>
        <v>2 - Reversível, severo</v>
      </c>
      <c r="L3" s="12">
        <v>2</v>
      </c>
    </row>
    <row r="4" spans="1:12" x14ac:dyDescent="0.25">
      <c r="B4" s="13">
        <v>3</v>
      </c>
      <c r="C4" s="13" t="s">
        <v>59</v>
      </c>
      <c r="D4" s="12">
        <v>3</v>
      </c>
      <c r="E4" s="12" t="s">
        <v>58</v>
      </c>
      <c r="F4" s="11" t="s">
        <v>29</v>
      </c>
      <c r="H4" t="str">
        <f>B4&amp;" - "&amp;C4</f>
        <v>3 - pouco provável</v>
      </c>
      <c r="I4" s="13">
        <v>3</v>
      </c>
      <c r="K4" t="str">
        <f>D4&amp;" - "&amp;E4</f>
        <v>3 - Irreversível, severo</v>
      </c>
      <c r="L4" s="12">
        <v>3</v>
      </c>
    </row>
    <row r="5" spans="1:12" x14ac:dyDescent="0.25">
      <c r="B5" s="13">
        <v>4</v>
      </c>
      <c r="C5" s="13" t="s">
        <v>57</v>
      </c>
      <c r="D5" s="12">
        <v>4</v>
      </c>
      <c r="E5" s="12" t="s">
        <v>56</v>
      </c>
      <c r="F5" s="11" t="s">
        <v>27</v>
      </c>
      <c r="H5" t="str">
        <f>B5&amp;" - "&amp;C5</f>
        <v>4 - provável</v>
      </c>
      <c r="I5" s="13">
        <v>4</v>
      </c>
      <c r="K5" t="str">
        <f>D5&amp;" - "&amp;E5</f>
        <v>4 - Fatal ou incapacitante</v>
      </c>
      <c r="L5" s="12">
        <v>4</v>
      </c>
    </row>
    <row r="6" spans="1:12" x14ac:dyDescent="0.25">
      <c r="F6" s="11" t="s">
        <v>26</v>
      </c>
    </row>
    <row r="7" spans="1:12" ht="15.75" thickBot="1" x14ac:dyDescent="0.3">
      <c r="D7" s="151" t="s">
        <v>55</v>
      </c>
      <c r="E7" s="151"/>
    </row>
    <row r="8" spans="1:12" ht="19.5" thickBot="1" x14ac:dyDescent="0.35">
      <c r="A8" t="s">
        <v>54</v>
      </c>
      <c r="B8" s="23" t="s">
        <v>67</v>
      </c>
      <c r="C8" s="21" t="s">
        <v>65</v>
      </c>
      <c r="D8" s="18" t="s">
        <v>53</v>
      </c>
      <c r="E8" s="18" t="s">
        <v>52</v>
      </c>
      <c r="F8" s="17" t="s">
        <v>51</v>
      </c>
      <c r="G8" s="26" t="s">
        <v>50</v>
      </c>
    </row>
    <row r="9" spans="1:12" x14ac:dyDescent="0.25">
      <c r="A9" t="str">
        <f t="shared" ref="A9:A24" si="0">B9&amp;C9</f>
        <v>11</v>
      </c>
      <c r="B9" s="13">
        <v>1</v>
      </c>
      <c r="C9" s="12">
        <v>1</v>
      </c>
      <c r="D9" s="11" t="s">
        <v>33</v>
      </c>
      <c r="E9" s="27" t="s">
        <v>44</v>
      </c>
    </row>
    <row r="10" spans="1:12" x14ac:dyDescent="0.25">
      <c r="A10" t="str">
        <f t="shared" si="0"/>
        <v>21</v>
      </c>
      <c r="B10" s="13">
        <v>2</v>
      </c>
      <c r="C10" s="12">
        <v>1</v>
      </c>
      <c r="D10" s="11" t="s">
        <v>31</v>
      </c>
      <c r="E10" s="13" t="s">
        <v>44</v>
      </c>
      <c r="F10" s="11" t="s">
        <v>33</v>
      </c>
      <c r="G10" s="16">
        <v>0</v>
      </c>
      <c r="H10" s="15" t="s">
        <v>49</v>
      </c>
    </row>
    <row r="11" spans="1:12" x14ac:dyDescent="0.25">
      <c r="A11" t="str">
        <f t="shared" si="0"/>
        <v>31</v>
      </c>
      <c r="B11" s="13">
        <v>3</v>
      </c>
      <c r="C11" s="12">
        <v>1</v>
      </c>
      <c r="D11" s="11" t="s">
        <v>31</v>
      </c>
      <c r="E11" s="13" t="s">
        <v>46</v>
      </c>
      <c r="F11" s="11" t="s">
        <v>31</v>
      </c>
      <c r="G11" s="16">
        <v>1</v>
      </c>
      <c r="H11" s="15" t="s">
        <v>48</v>
      </c>
    </row>
    <row r="12" spans="1:12" x14ac:dyDescent="0.25">
      <c r="A12" t="str">
        <f t="shared" si="0"/>
        <v>41</v>
      </c>
      <c r="B12" s="13">
        <v>4</v>
      </c>
      <c r="C12" s="12">
        <v>1</v>
      </c>
      <c r="D12" s="11" t="s">
        <v>29</v>
      </c>
      <c r="E12" s="11" t="s">
        <v>35</v>
      </c>
      <c r="F12" s="11" t="s">
        <v>29</v>
      </c>
      <c r="G12" s="16">
        <v>2</v>
      </c>
      <c r="H12" s="15" t="s">
        <v>47</v>
      </c>
    </row>
    <row r="13" spans="1:12" x14ac:dyDescent="0.25">
      <c r="A13" t="str">
        <f t="shared" si="0"/>
        <v>12</v>
      </c>
      <c r="B13" s="13">
        <v>1</v>
      </c>
      <c r="C13" s="12">
        <v>2</v>
      </c>
      <c r="D13" s="11" t="s">
        <v>31</v>
      </c>
      <c r="E13" s="13" t="s">
        <v>44</v>
      </c>
      <c r="F13" s="11" t="s">
        <v>27</v>
      </c>
      <c r="G13" s="16"/>
      <c r="H13" s="15"/>
    </row>
    <row r="14" spans="1:12" x14ac:dyDescent="0.25">
      <c r="A14" t="str">
        <f t="shared" si="0"/>
        <v>22</v>
      </c>
      <c r="B14" s="13">
        <v>2</v>
      </c>
      <c r="C14" s="12">
        <v>2</v>
      </c>
      <c r="D14" s="11" t="s">
        <v>31</v>
      </c>
      <c r="E14" s="13" t="s">
        <v>44</v>
      </c>
      <c r="F14" s="11" t="s">
        <v>26</v>
      </c>
      <c r="G14" s="16"/>
      <c r="H14" s="15"/>
    </row>
    <row r="15" spans="1:12" x14ac:dyDescent="0.25">
      <c r="A15" t="str">
        <f t="shared" si="0"/>
        <v>32</v>
      </c>
      <c r="B15" s="13">
        <v>3</v>
      </c>
      <c r="C15" s="12">
        <v>2</v>
      </c>
      <c r="D15" s="11" t="s">
        <v>29</v>
      </c>
      <c r="E15" s="11" t="s">
        <v>46</v>
      </c>
    </row>
    <row r="16" spans="1:12" x14ac:dyDescent="0.25">
      <c r="A16" t="str">
        <f t="shared" si="0"/>
        <v>42</v>
      </c>
      <c r="B16" s="13">
        <v>4</v>
      </c>
      <c r="C16" s="12">
        <v>2</v>
      </c>
      <c r="D16" s="11" t="s">
        <v>27</v>
      </c>
      <c r="E16" s="11" t="s">
        <v>35</v>
      </c>
      <c r="F16" s="10" t="s">
        <v>33</v>
      </c>
      <c r="G16" s="9">
        <v>0</v>
      </c>
      <c r="H16" s="1" t="s">
        <v>45</v>
      </c>
    </row>
    <row r="17" spans="1:9" ht="60" x14ac:dyDescent="0.25">
      <c r="A17" t="str">
        <f t="shared" si="0"/>
        <v>13</v>
      </c>
      <c r="B17" s="13">
        <v>1</v>
      </c>
      <c r="C17" s="12">
        <v>3</v>
      </c>
      <c r="D17" s="11" t="s">
        <v>31</v>
      </c>
      <c r="E17" s="13" t="s">
        <v>44</v>
      </c>
      <c r="F17" s="10" t="s">
        <v>31</v>
      </c>
      <c r="G17" s="9">
        <v>0</v>
      </c>
      <c r="H17" s="14" t="s">
        <v>43</v>
      </c>
    </row>
    <row r="18" spans="1:9" x14ac:dyDescent="0.25">
      <c r="A18" t="str">
        <f t="shared" si="0"/>
        <v>23</v>
      </c>
      <c r="B18" s="13">
        <v>2</v>
      </c>
      <c r="C18" s="12">
        <v>3</v>
      </c>
      <c r="D18" s="11" t="s">
        <v>29</v>
      </c>
      <c r="E18" s="11" t="s">
        <v>40</v>
      </c>
      <c r="F18" s="10" t="s">
        <v>29</v>
      </c>
      <c r="G18" s="9">
        <v>0</v>
      </c>
      <c r="H18" s="1" t="s">
        <v>42</v>
      </c>
    </row>
    <row r="19" spans="1:9" x14ac:dyDescent="0.25">
      <c r="A19" t="str">
        <f t="shared" si="0"/>
        <v>33</v>
      </c>
      <c r="B19" s="13">
        <v>3</v>
      </c>
      <c r="C19" s="12">
        <v>3</v>
      </c>
      <c r="D19" s="11" t="s">
        <v>27</v>
      </c>
      <c r="E19" s="11" t="s">
        <v>39</v>
      </c>
      <c r="F19" s="10" t="s">
        <v>27</v>
      </c>
      <c r="G19" s="9">
        <v>0</v>
      </c>
      <c r="H19" s="1" t="s">
        <v>41</v>
      </c>
    </row>
    <row r="20" spans="1:9" x14ac:dyDescent="0.25">
      <c r="A20" t="str">
        <f t="shared" si="0"/>
        <v>43</v>
      </c>
      <c r="B20" s="13">
        <v>4</v>
      </c>
      <c r="C20" s="12">
        <v>3</v>
      </c>
      <c r="D20" s="11" t="s">
        <v>27</v>
      </c>
      <c r="E20" s="11" t="s">
        <v>35</v>
      </c>
      <c r="F20" s="10" t="s">
        <v>26</v>
      </c>
      <c r="G20" s="9">
        <v>0</v>
      </c>
      <c r="H20" s="1" t="s">
        <v>41</v>
      </c>
    </row>
    <row r="21" spans="1:9" x14ac:dyDescent="0.25">
      <c r="A21" t="str">
        <f t="shared" si="0"/>
        <v>14</v>
      </c>
      <c r="B21" s="13">
        <v>1</v>
      </c>
      <c r="C21" s="12">
        <v>4</v>
      </c>
      <c r="D21" s="11" t="s">
        <v>29</v>
      </c>
      <c r="E21" s="11" t="s">
        <v>40</v>
      </c>
      <c r="F21" s="10" t="s">
        <v>33</v>
      </c>
      <c r="G21" s="9">
        <v>1</v>
      </c>
      <c r="H21" s="1" t="s">
        <v>32</v>
      </c>
      <c r="I21" s="1"/>
    </row>
    <row r="22" spans="1:9" x14ac:dyDescent="0.25">
      <c r="A22" t="str">
        <f t="shared" si="0"/>
        <v>24</v>
      </c>
      <c r="B22" s="13">
        <v>2</v>
      </c>
      <c r="C22" s="12">
        <v>4</v>
      </c>
      <c r="D22" s="11" t="s">
        <v>27</v>
      </c>
      <c r="E22" s="11" t="s">
        <v>39</v>
      </c>
      <c r="F22" s="10" t="s">
        <v>31</v>
      </c>
      <c r="G22" s="9">
        <v>1</v>
      </c>
      <c r="H22" s="1" t="s">
        <v>38</v>
      </c>
    </row>
    <row r="23" spans="1:9" x14ac:dyDescent="0.25">
      <c r="A23" t="str">
        <f t="shared" si="0"/>
        <v>34</v>
      </c>
      <c r="B23" s="13">
        <v>3</v>
      </c>
      <c r="C23" s="12">
        <v>4</v>
      </c>
      <c r="D23" s="11" t="s">
        <v>27</v>
      </c>
      <c r="E23" s="11" t="s">
        <v>37</v>
      </c>
      <c r="F23" s="10" t="s">
        <v>29</v>
      </c>
      <c r="G23" s="9">
        <v>1</v>
      </c>
      <c r="H23" s="1" t="s">
        <v>36</v>
      </c>
    </row>
    <row r="24" spans="1:9" x14ac:dyDescent="0.25">
      <c r="A24" t="str">
        <f t="shared" si="0"/>
        <v>44</v>
      </c>
      <c r="B24" s="13">
        <v>4</v>
      </c>
      <c r="C24" s="12">
        <v>4</v>
      </c>
      <c r="D24" s="11" t="s">
        <v>26</v>
      </c>
      <c r="E24" s="28" t="s">
        <v>35</v>
      </c>
      <c r="F24" s="10" t="s">
        <v>27</v>
      </c>
      <c r="G24" s="9">
        <v>1</v>
      </c>
      <c r="H24" s="1" t="s">
        <v>34</v>
      </c>
    </row>
    <row r="25" spans="1:9" x14ac:dyDescent="0.25">
      <c r="F25" s="10" t="s">
        <v>26</v>
      </c>
      <c r="G25" s="9">
        <v>1</v>
      </c>
      <c r="H25" s="1" t="s">
        <v>25</v>
      </c>
    </row>
    <row r="26" spans="1:9" x14ac:dyDescent="0.25">
      <c r="F26" s="10" t="s">
        <v>33</v>
      </c>
      <c r="G26" s="9">
        <v>2</v>
      </c>
      <c r="H26" s="1" t="s">
        <v>32</v>
      </c>
    </row>
    <row r="27" spans="1:9" x14ac:dyDescent="0.25">
      <c r="F27" s="10" t="s">
        <v>31</v>
      </c>
      <c r="G27" s="9">
        <v>2</v>
      </c>
      <c r="H27" s="1" t="s">
        <v>30</v>
      </c>
    </row>
    <row r="28" spans="1:9" x14ac:dyDescent="0.25">
      <c r="F28" s="10" t="s">
        <v>29</v>
      </c>
      <c r="G28" s="9">
        <v>2</v>
      </c>
      <c r="H28" s="1" t="s">
        <v>28</v>
      </c>
    </row>
    <row r="29" spans="1:9" x14ac:dyDescent="0.25">
      <c r="F29" s="10" t="s">
        <v>27</v>
      </c>
      <c r="G29" s="9">
        <v>2</v>
      </c>
      <c r="H29" s="1" t="s">
        <v>25</v>
      </c>
    </row>
    <row r="30" spans="1:9" x14ac:dyDescent="0.25">
      <c r="F30" s="10" t="s">
        <v>26</v>
      </c>
      <c r="G30" s="9">
        <v>2</v>
      </c>
      <c r="H30" s="1" t="s">
        <v>25</v>
      </c>
    </row>
  </sheetData>
  <mergeCells count="1">
    <mergeCell ref="D7:E7"/>
  </mergeCells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tabColor theme="5" tint="0.39997558519241921"/>
  </sheetPr>
  <dimension ref="A1:S6"/>
  <sheetViews>
    <sheetView showGridLines="0" workbookViewId="0">
      <selection activeCell="D12" sqref="D12"/>
    </sheetView>
  </sheetViews>
  <sheetFormatPr defaultRowHeight="15" x14ac:dyDescent="0.25"/>
  <cols>
    <col min="1" max="1" width="9.140625" customWidth="1"/>
  </cols>
  <sheetData>
    <row r="1" spans="1:19" ht="15.75" thickBot="1" x14ac:dyDescent="0.3"/>
    <row r="2" spans="1:19" ht="77.25" customHeight="1" thickBot="1" x14ac:dyDescent="0.3">
      <c r="A2" s="152" t="s">
        <v>69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4"/>
    </row>
    <row r="3" spans="1:19" ht="121.5" customHeight="1" thickBot="1" x14ac:dyDescent="0.3">
      <c r="A3" s="155" t="s">
        <v>68</v>
      </c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7"/>
    </row>
    <row r="5" spans="1:19" ht="18.75" x14ac:dyDescent="0.3">
      <c r="B5" t="s">
        <v>71</v>
      </c>
    </row>
    <row r="6" spans="1:19" ht="18.75" x14ac:dyDescent="0.3">
      <c r="B6" t="s">
        <v>72</v>
      </c>
    </row>
  </sheetData>
  <mergeCells count="2">
    <mergeCell ref="A2:S2"/>
    <mergeCell ref="A3:S3"/>
  </mergeCells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MATRIZ DE RISCO</vt:lpstr>
      <vt:lpstr>PLANO DE AÇÃO</vt:lpstr>
      <vt:lpstr>MATRIZ</vt:lpstr>
      <vt:lpstr>LEGENDAS</vt:lpstr>
      <vt:lpstr>'MATRIZ DE RISCO'!Area_de_impressao</vt:lpstr>
      <vt:lpstr>'MATRIZ DE RISCO'!Titulos_de_impressao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Iervese</dc:creator>
  <cp:lastModifiedBy>Windows 10</cp:lastModifiedBy>
  <cp:lastPrinted>2020-06-05T20:23:00Z</cp:lastPrinted>
  <dcterms:created xsi:type="dcterms:W3CDTF">2018-10-02T10:01:19Z</dcterms:created>
  <dcterms:modified xsi:type="dcterms:W3CDTF">2021-10-22T17:50:26Z</dcterms:modified>
</cp:coreProperties>
</file>